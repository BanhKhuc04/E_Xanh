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b21f824e4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ac1f941466814d17"/>
    <x:sheet xmlns:r="http://schemas.openxmlformats.org/officeDocument/2006/relationships" name="Dashboard" sheetId="2" r:id="R65622d1391824d3f"/>
    <x:sheet xmlns:r="http://schemas.openxmlformats.org/officeDocument/2006/relationships" name="Scope_Checklist" sheetId="3" r:id="Rbb3f2b7d7cff4efe"/>
    <x:sheet xmlns:r="http://schemas.openxmlformats.org/officeDocument/2006/relationships" name="Bug_Report_Template" sheetId="4" r:id="Rbfe3ac1845674f7b"/>
    <x:sheet xmlns:r="http://schemas.openxmlformats.org/officeDocument/2006/relationships" name="Testing_Guide" sheetId="5" r:id="R6f2cf1b20b0344c8"/>
    <x:sheet xmlns:r="http://schemas.openxmlformats.org/officeDocument/2006/relationships" name="Lists" sheetId="6" r:id="R76bfbed6d6e9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5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4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064E3B"/>
      </x:patternFill>
    </x:fill>
    <x:fill>
      <x:patternFill patternType="solid">
        <x:fgColor rgb="7C2D12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  <x:dxfs count="5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3730A3"/>
      </x:font>
      <x:fill>
        <x:patternFill patternType="solid">
          <x:bgColor rgb="E0E7FF"/>
        </x:patternFill>
      </x:fill>
    </x:dxf>
    <x:dxf>
      <x:font>
        <x:b/>
      </x:font>
      <x:fill>
        <x:patternFill patternType="solid">
          <x:bgColor rgb="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1c4432fb5442d" /><Relationship Type="http://schemas.openxmlformats.org/officeDocument/2006/relationships/theme" Target="/xl/theme/theme1.xml" Id="R77b41de4e92840aa" /><Relationship Type="http://schemas.openxmlformats.org/officeDocument/2006/relationships/sharedStrings" Target="/xl/sharedStrings.xml" Id="R327c49d861394798" /><Relationship Type="http://schemas.openxmlformats.org/officeDocument/2006/relationships/worksheet" Target="/xl/worksheets/sheet1.xml" Id="Rac1f941466814d17" /><Relationship Type="http://schemas.openxmlformats.org/officeDocument/2006/relationships/worksheet" Target="/xl/worksheets/sheet2.xml" Id="R65622d1391824d3f" /><Relationship Type="http://schemas.openxmlformats.org/officeDocument/2006/relationships/worksheet" Target="/xl/worksheets/sheet3.xml" Id="Rbb3f2b7d7cff4efe" /><Relationship Type="http://schemas.openxmlformats.org/officeDocument/2006/relationships/worksheet" Target="/xl/worksheets/sheet4.xml" Id="Rbfe3ac1845674f7b" /><Relationship Type="http://schemas.openxmlformats.org/officeDocument/2006/relationships/worksheet" Target="/xl/worksheets/sheet5.xml" Id="R6f2cf1b20b0344c8" /><Relationship Type="http://schemas.openxmlformats.org/officeDocument/2006/relationships/worksheet" Target="/xl/worksheets/sheet6.xml" Id="R76bfbed6d6e9498b" /></Relationships>
</file>

<file path=xl/tables/table1.xml><?xml version="1.0" encoding="utf-8"?>
<x:table xmlns:x="http://schemas.openxmlformats.org/spreadsheetml/2006/main" id="1" name="EXANH_TestCases" displayName="EXANH_TestCases" ref="A1:N213" headerRowCount="1">
  <x:tableColumns count="14">
    <x:tableColumn id="1" name="TC_ID"/>
    <x:tableColumn id="2" name="Module"/>
    <x:tableColumn id="3" name="Area/Route"/>
    <x:tableColumn id="4" name="Chức năng/Nút cần test"/>
    <x:tableColumn id="5" name="Tiền điều kiện"/>
    <x:tableColumn id="6" name="Bước test"/>
    <x:tableColumn id="7" name="Kết quả mong đợi"/>
    <x:tableColumn id="8" name="Priority"/>
    <x:tableColumn id="9" name="Type"/>
    <x:tableColumn id="10" name="Owner"/>
    <x:tableColumn id="11" name="Status"/>
    <x:tableColumn id="12" name="Actual Result"/>
    <x:tableColumn id="13" name="Evidence Link/Ảnh"/>
    <x:tableColumn id="14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8c47b40763461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5" hidden="0" customWidth="1"/>
    <x:col min="4" max="4" width="30" hidden="0" customWidth="1"/>
    <x:col min="5" max="5" width="28" hidden="0" customWidth="1"/>
    <x:col min="6" max="6" width="42" hidden="0" customWidth="1"/>
    <x:col min="7" max="7" width="42" hidden="0" customWidth="1"/>
    <x:col min="8" max="8" width="14" hidden="0" customWidth="1"/>
    <x:col min="9" max="9" width="18" hidden="0" customWidth="1"/>
    <x:col min="10" max="10" width="14" hidden="0" customWidth="1"/>
    <x:col min="11" max="11" width="20" hidden="0" customWidth="1"/>
    <x:col min="12" max="12" width="30" hidden="0" customWidth="1"/>
    <x:col min="13" max="13" width="20" hidden="0" customWidth="1"/>
    <x:col min="14" max="14" width="28" hidden="0" customWidth="1"/>
  </x:cols>
  <x:sheetData>
    <x:row r="1">
      <x:c r="A1" s="8" t="str">
        <x:v>TC_ID</x:v>
      </x:c>
      <x:c r="B1" s="8" t="str">
        <x:v>Module</x:v>
      </x:c>
      <x:c r="C1" s="8" t="str">
        <x:v>Area/Route</x:v>
      </x:c>
      <x:c r="D1" s="8" t="str">
        <x:v>Chức năng/Nút cần test</x:v>
      </x:c>
      <x:c r="E1" s="8" t="str">
        <x:v>Tiền điều kiện</x:v>
      </x:c>
      <x:c r="F1" s="8" t="str">
        <x:v>Bước test</x:v>
      </x:c>
      <x:c r="G1" s="8" t="str">
        <x:v>Kết quả mong đợi</x:v>
      </x:c>
      <x:c r="H1" s="8" t="str">
        <x:v>Priority</x:v>
      </x:c>
      <x:c r="I1" s="8" t="str">
        <x:v>Type</x:v>
      </x:c>
      <x:c r="J1" s="8" t="str">
        <x:v>Owner</x:v>
      </x:c>
      <x:c r="K1" s="8" t="str">
        <x:v>Status</x:v>
      </x:c>
      <x:c r="L1" s="8" t="str">
        <x:v>Actual Result</x:v>
      </x:c>
      <x:c r="M1" s="8" t="str">
        <x:v>Evidence Link/Ảnh</x:v>
      </x:c>
      <x:c r="N1" s="8" t="str">
        <x:v>Ghi chú</x:v>
      </x:c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14" t="str">
        <x:v>EX-001</x:v>
      </x:c>
      <x:c r="B2" s="14" t="str">
        <x:v>Global Navigation</x:v>
      </x:c>
      <x:c r="C2" s="14" t="str">
        <x:v>All routes</x:v>
      </x:c>
      <x:c r="D2" s="14" t="str">
        <x:v>Logo về trang chủ</x:v>
      </x:c>
      <x:c r="E2" s="14" t="str">
        <x:v>Mở website ở một route bất kỳ</x:v>
      </x:c>
      <x:c r="F2" s="14" t="str">
        <x:v>Bấm logo E-XANH trên navbar</x:v>
      </x:c>
      <x:c r="G2" s="14" t="str">
        <x:v>Luôn chuyển về `/`, không reload lỗi, active menu đúng</x:v>
      </x:c>
      <x:c r="H2" s="14" t="str">
        <x:v>P1 High</x:v>
      </x:c>
      <x:c r="I2" s="14" t="str">
        <x:v>Route</x:v>
      </x:c>
      <x:c r="J2" s="14" t="str"/>
      <x:c r="K2" s="14" t="str">
        <x:v>Not Tested</x:v>
      </x:c>
      <x:c r="L2" s="14" t="str"/>
      <x:c r="M2" s="14" t="str"/>
      <x:c r="N2" s="14" t="str"/>
    </x:row>
    <x:row r="3">
      <x:c r="A3" s="14" t="str">
        <x:v>EX-002</x:v>
      </x:c>
      <x:c r="B3" s="14" t="str">
        <x:v>Global Navigation</x:v>
      </x:c>
      <x:c r="C3" s="14" t="str">
        <x:v>All routes</x:v>
      </x:c>
      <x:c r="D3" s="14" t="str">
        <x:v>Menu Trang chủ</x:v>
      </x:c>
      <x:c r="E3" s="14" t="str">
        <x:v>Mở website</x:v>
      </x:c>
      <x:c r="F3" s="14" t="str">
        <x:v>Bấm menu Trang chủ</x:v>
      </x:c>
      <x:c r="G3" s="14" t="str">
        <x:v>Chuyển đúng về `/`</x:v>
      </x:c>
      <x:c r="H3" s="14" t="str">
        <x:v>P1 High</x:v>
      </x:c>
      <x:c r="I3" s="14" t="str">
        <x:v>Route</x:v>
      </x:c>
      <x:c r="J3" s="14" t="str"/>
      <x:c r="K3" s="14" t="str">
        <x:v>Not Tested</x:v>
      </x:c>
      <x:c r="L3" s="14" t="str"/>
      <x:c r="M3" s="14" t="str"/>
      <x:c r="N3" s="14" t="str"/>
    </x:row>
    <x:row r="4">
      <x:c r="A4" s="14" t="str">
        <x:v>EX-003</x:v>
      </x:c>
      <x:c r="B4" s="14" t="str">
        <x:v>Global Navigation</x:v>
      </x:c>
      <x:c r="C4" s="14" t="str">
        <x:v>All routes</x:v>
      </x:c>
      <x:c r="D4" s="14" t="str">
        <x:v>Menu Mẹo tiết kiệm</x:v>
      </x:c>
      <x:c r="E4" s="14" t="str">
        <x:v>Mở website</x:v>
      </x:c>
      <x:c r="F4" s="14" t="str">
        <x:v>Bấm menu Mẹo tiết kiệm</x:v>
      </x:c>
      <x:c r="G4" s="14" t="str">
        <x:v>Chuyển đúng `/meo-tiet-kiem`, không 404</x:v>
      </x:c>
      <x:c r="H4" s="14" t="str">
        <x:v>P1 High</x:v>
      </x:c>
      <x:c r="I4" s="14" t="str">
        <x:v>Route</x:v>
      </x:c>
      <x:c r="J4" s="14" t="str"/>
      <x:c r="K4" s="14" t="str">
        <x:v>Not Tested</x:v>
      </x:c>
      <x:c r="L4" s="14" t="str"/>
      <x:c r="M4" s="14" t="str"/>
      <x:c r="N4" s="14" t="str"/>
    </x:row>
    <x:row r="5">
      <x:c r="A5" s="14" t="str">
        <x:v>EX-004</x:v>
      </x:c>
      <x:c r="B5" s="14" t="str">
        <x:v>Global Navigation</x:v>
      </x:c>
      <x:c r="C5" s="14" t="str">
        <x:v>All routes</x:v>
      </x:c>
      <x:c r="D5" s="14" t="str">
        <x:v>Menu Cộng đồng</x:v>
      </x:c>
      <x:c r="E5" s="14" t="str">
        <x:v>Mở website</x:v>
      </x:c>
      <x:c r="F5" s="14" t="str">
        <x:v>Bấm menu Cộng đồng</x:v>
      </x:c>
      <x:c r="G5" s="14" t="str">
        <x:v>Chuyển đúng `/cong-dong`, không nhảy sai sang mẹo</x:v>
      </x:c>
      <x:c r="H5" s="14" t="str">
        <x:v>P1 High</x:v>
      </x:c>
      <x:c r="I5" s="14" t="str">
        <x:v>Route</x:v>
      </x:c>
      <x:c r="J5" s="14" t="str"/>
      <x:c r="K5" s="14" t="str">
        <x:v>Not Tested</x:v>
      </x:c>
      <x:c r="L5" s="14" t="str"/>
      <x:c r="M5" s="14" t="str"/>
      <x:c r="N5" s="14" t="str"/>
    </x:row>
    <x:row r="6">
      <x:c r="A6" s="14" t="str">
        <x:v>EX-005</x:v>
      </x:c>
      <x:c r="B6" s="14" t="str">
        <x:v>Global Navigation</x:v>
      </x:c>
      <x:c r="C6" s="14" t="str">
        <x:v>All routes</x:v>
      </x:c>
      <x:c r="D6" s="14" t="str">
        <x:v>Menu Kiểm tra tiền điện</x:v>
      </x:c>
      <x:c r="E6" s="14" t="str">
        <x:v>Mở website</x:v>
      </x:c>
      <x:c r="F6" s="14" t="str">
        <x:v>Bấm menu Kiểm tra tiền điện nếu có</x:v>
      </x:c>
      <x:c r="G6" s="14" t="str">
        <x:v>Chuyển đúng `/kiem-tra-tien-dien`; nếu không còn dùng thì phải ẩn menu</x:v>
      </x:c>
      <x:c r="H6" s="14" t="str">
        <x:v>P1 High</x:v>
      </x:c>
      <x:c r="I6" s="14" t="str">
        <x:v>Scope Check</x:v>
      </x:c>
      <x:c r="J6" s="14" t="str"/>
      <x:c r="K6" s="14" t="str">
        <x:v>Not Tested</x:v>
      </x:c>
      <x:c r="L6" s="14" t="str"/>
      <x:c r="M6" s="14" t="str"/>
      <x:c r="N6" s="14" t="str"/>
    </x:row>
    <x:row r="7">
      <x:c r="A7" s="14" t="str">
        <x:v>EX-006</x:v>
      </x:c>
      <x:c r="B7" s="14" t="str">
        <x:v>Global Navigation</x:v>
      </x:c>
      <x:c r="C7" s="14" t="str">
        <x:v>All routes</x:v>
      </x:c>
      <x:c r="D7" s="14" t="str">
        <x:v>Menu Bài đã lưu</x:v>
      </x:c>
      <x:c r="E7" s="14" t="str">
        <x:v>User đã/ chưa đăng nhập</x:v>
      </x:c>
      <x:c r="F7" s="14" t="str">
        <x:v>Bấm menu Bài đã lưu</x:v>
      </x:c>
      <x:c r="G7" s="14" t="str">
        <x:v>Nếu guest thì yêu cầu đăng nhập; nếu user thì vào `/bai-da-luu`</x:v>
      </x:c>
      <x:c r="H7" s="14" t="str">
        <x:v>P1 High</x:v>
      </x:c>
      <x:c r="I7" s="14" t="str">
        <x:v>Permission</x:v>
      </x:c>
      <x:c r="J7" s="14" t="str"/>
      <x:c r="K7" s="14" t="str">
        <x:v>Not Tested</x:v>
      </x:c>
      <x:c r="L7" s="14" t="str"/>
      <x:c r="M7" s="14" t="str"/>
      <x:c r="N7" s="14" t="str"/>
    </x:row>
    <x:row r="8">
      <x:c r="A8" s="14" t="str">
        <x:v>EX-007</x:v>
      </x:c>
      <x:c r="B8" s="14" t="str">
        <x:v>Global Navigation</x:v>
      </x:c>
      <x:c r="C8" s="14" t="str">
        <x:v>All routes</x:v>
      </x:c>
      <x:c r="D8" s="14" t="str">
        <x:v>Menu Đăng bài</x:v>
      </x:c>
      <x:c r="E8" s="14" t="str">
        <x:v>Guest hoặc user</x:v>
      </x:c>
      <x:c r="F8" s="14" t="str">
        <x:v>Bấm menu/nút Đăng bài</x:v>
      </x:c>
      <x:c r="G8" s="14" t="str">
        <x:v>Guest bị chuyển đăng nhập, user vào `/dang-bai`</x:v>
      </x:c>
      <x:c r="H8" s="14" t="str">
        <x:v>P1 High</x:v>
      </x:c>
      <x:c r="I8" s="14" t="str">
        <x:v>Permission</x:v>
      </x:c>
      <x:c r="J8" s="14" t="str"/>
      <x:c r="K8" s="14" t="str">
        <x:v>Not Tested</x:v>
      </x:c>
      <x:c r="L8" s="14" t="str"/>
      <x:c r="M8" s="14" t="str"/>
      <x:c r="N8" s="14" t="str"/>
    </x:row>
    <x:row r="9">
      <x:c r="A9" s="14" t="str">
        <x:v>EX-008</x:v>
      </x:c>
      <x:c r="B9" s="14" t="str">
        <x:v>Global Navigation</x:v>
      </x:c>
      <x:c r="C9" s="14" t="str">
        <x:v>All routes</x:v>
      </x:c>
      <x:c r="D9" s="14" t="str">
        <x:v>Navbar active state</x:v>
      </x:c>
      <x:c r="E9" s="14" t="str">
        <x:v>Đang ở từng route</x:v>
      </x:c>
      <x:c r="F9" s="14" t="str">
        <x:v>Quan sát menu đang được chọn</x:v>
      </x:c>
      <x:c r="G9" s="14" t="str">
        <x:v>Menu hiện tại được highlight đúng, không highlight 2 mục</x:v>
      </x:c>
      <x:c r="H9" s="14" t="str">
        <x:v>P3 Low</x:v>
      </x:c>
      <x:c r="I9" s="14" t="str">
        <x:v>UI/UX</x:v>
      </x:c>
      <x:c r="J9" s="14" t="str"/>
      <x:c r="K9" s="14" t="str">
        <x:v>Not Tested</x:v>
      </x:c>
      <x:c r="L9" s="14" t="str"/>
      <x:c r="M9" s="14" t="str"/>
      <x:c r="N9" s="14" t="str"/>
    </x:row>
    <x:row r="10">
      <x:c r="A10" s="14" t="str">
        <x:v>EX-009</x:v>
      </x:c>
      <x:c r="B10" s="14" t="str">
        <x:v>Global Navigation</x:v>
      </x:c>
      <x:c r="C10" s="14" t="str">
        <x:v>All routes</x:v>
      </x:c>
      <x:c r="D10" s="14" t="str">
        <x:v>Navbar mobile hamburger</x:v>
      </x:c>
      <x:c r="E10" s="14" t="str">
        <x:v>Màn hình 375px</x:v>
      </x:c>
      <x:c r="F10" s="14" t="str">
        <x:v>Bấm hamburger</x:v>
      </x:c>
      <x:c r="G10" s="14" t="str">
        <x:v>Menu mở/đóng mượt, không che mất nội dung quan trọng</x:v>
      </x:c>
      <x:c r="H10" s="14" t="str">
        <x:v>P1 High</x:v>
      </x:c>
      <x:c r="I10" s="14" t="str">
        <x:v>Responsive</x:v>
      </x:c>
      <x:c r="J10" s="14" t="str"/>
      <x:c r="K10" s="14" t="str">
        <x:v>Not Tested</x:v>
      </x:c>
      <x:c r="L10" s="14" t="str"/>
      <x:c r="M10" s="14" t="str"/>
      <x:c r="N10" s="14" t="str"/>
    </x:row>
    <x:row r="11">
      <x:c r="A11" s="14" t="str">
        <x:v>EX-010</x:v>
      </x:c>
      <x:c r="B11" s="14" t="str">
        <x:v>Global Navigation</x:v>
      </x:c>
      <x:c r="C11" s="14" t="str">
        <x:v>All routes</x:v>
      </x:c>
      <x:c r="D11" s="14" t="str">
        <x:v>Click ngoài để đóng menu mobile</x:v>
      </x:c>
      <x:c r="E11" s="14" t="str">
        <x:v>Menu mobile đang mở</x:v>
      </x:c>
      <x:c r="F11" s="14" t="str">
        <x:v>Click ra ngoài hoặc bấm lại</x:v>
      </x:c>
      <x:c r="G11" s="14" t="str">
        <x:v>Menu đóng đúng, không kẹt overlay</x:v>
      </x:c>
      <x:c r="H11" s="14" t="str">
        <x:v>P2 Medium</x:v>
      </x:c>
      <x:c r="I11" s="14" t="str">
        <x:v>Responsive</x:v>
      </x:c>
      <x:c r="J11" s="14" t="str"/>
      <x:c r="K11" s="14" t="str">
        <x:v>Not Tested</x:v>
      </x:c>
      <x:c r="L11" s="14" t="str"/>
      <x:c r="M11" s="14" t="str"/>
      <x:c r="N11" s="14" t="str"/>
    </x:row>
    <x:row r="12">
      <x:c r="A12" s="14" t="str">
        <x:v>EX-011</x:v>
      </x:c>
      <x:c r="B12" s="14" t="str">
        <x:v>Global Navigation</x:v>
      </x:c>
      <x:c r="C12" s="14" t="str">
        <x:v>All routes</x:v>
      </x:c>
      <x:c r="D12" s="14" t="str">
        <x:v>Footer link chính</x:v>
      </x:c>
      <x:c r="E12" s="14" t="str">
        <x:v>Mở trang bất kỳ</x:v>
      </x:c>
      <x:c r="F12" s="14" t="str">
        <x:v>Bấm từng link footer</x:v>
      </x:c>
      <x:c r="G12" s="14" t="str">
        <x:v>Không có link chết/404</x:v>
      </x:c>
      <x:c r="H12" s="14" t="str">
        <x:v>P2 Medium</x:v>
      </x:c>
      <x:c r="I12" s="14" t="str">
        <x:v>Route</x:v>
      </x:c>
      <x:c r="J12" s="14" t="str"/>
      <x:c r="K12" s="14" t="str">
        <x:v>Not Tested</x:v>
      </x:c>
      <x:c r="L12" s="14" t="str"/>
      <x:c r="M12" s="14" t="str"/>
      <x:c r="N12" s="14" t="str"/>
    </x:row>
    <x:row r="13">
      <x:c r="A13" s="14" t="str">
        <x:v>EX-012</x:v>
      </x:c>
      <x:c r="B13" s="14" t="str">
        <x:v>Global Navigation</x:v>
      </x:c>
      <x:c r="C13" s="14" t="str">
        <x:v>All routes</x:v>
      </x:c>
      <x:c r="D13" s="14" t="str">
        <x:v>Footer thông tin dự án</x:v>
      </x:c>
      <x:c r="E13" s="14" t="str">
        <x:v>Mở trang bất kỳ</x:v>
      </x:c>
      <x:c r="F13" s="14" t="str">
        <x:v>Quan sát footer</x:v>
      </x:c>
      <x:c r="G13" s="14" t="str">
        <x:v>Có tên E-XANH, mô tả ngắn, link báo lỗi/liên hệ nếu có</x:v>
      </x:c>
      <x:c r="H13" s="14" t="str">
        <x:v>P3 Low</x:v>
      </x:c>
      <x:c r="I13" s="14" t="str">
        <x:v>Content</x:v>
      </x:c>
      <x:c r="J13" s="14" t="str"/>
      <x:c r="K13" s="14" t="str">
        <x:v>Not Tested</x:v>
      </x:c>
      <x:c r="L13" s="14" t="str"/>
      <x:c r="M13" s="14" t="str"/>
      <x:c r="N13" s="14" t="str"/>
    </x:row>
    <x:row r="14">
      <x:c r="A14" s="14" t="str">
        <x:v>EX-013</x:v>
      </x:c>
      <x:c r="B14" s="14" t="str">
        <x:v>Global Navigation</x:v>
      </x:c>
      <x:c r="C14" s="14" t="str">
        <x:v>All routes</x:v>
      </x:c>
      <x:c r="D14" s="14" t="str">
        <x:v>Scroll lên đầu khi đổi route</x:v>
      </x:c>
      <x:c r="E14" s="14" t="str">
        <x:v>Đang ở cuối trang</x:v>
      </x:c>
      <x:c r="F14" s="14" t="str">
        <x:v>Bấm chuyển sang route khác</x:v>
      </x:c>
      <x:c r="G14" s="14" t="str">
        <x:v>Trang mới mở ở đầu trang, không giữ scroll cũ</x:v>
      </x:c>
      <x:c r="H14" s="14" t="str">
        <x:v>P2 Medium</x:v>
      </x:c>
      <x:c r="I14" s="14" t="str">
        <x:v>UX</x:v>
      </x:c>
      <x:c r="J14" s="14" t="str"/>
      <x:c r="K14" s="14" t="str">
        <x:v>Not Tested</x:v>
      </x:c>
      <x:c r="L14" s="14" t="str"/>
      <x:c r="M14" s="14" t="str"/>
      <x:c r="N14" s="14" t="str"/>
    </x:row>
    <x:row r="15">
      <x:c r="A15" s="14" t="str">
        <x:v>EX-014</x:v>
      </x:c>
      <x:c r="B15" s="14" t="str">
        <x:v>Global Navigation</x:v>
      </x:c>
      <x:c r="C15" s="14" t="str">
        <x:v>All routes</x:v>
      </x:c>
      <x:c r="D15" s="14" t="str">
        <x:v>Refresh route con</x:v>
      </x:c>
      <x:c r="E15" s="14" t="str">
        <x:v>Đang ở `/cong-dong` hoặc `/meo-tiet-kiem`</x:v>
      </x:c>
      <x:c r="F15" s="14" t="str">
        <x:v>Nhấn F5</x:v>
      </x:c>
      <x:c r="G15" s="14" t="str">
        <x:v>Không bị 404 trên Vercel/local</x:v>
      </x:c>
      <x:c r="H15" s="14" t="str">
        <x:v>P0 Critical</x:v>
      </x:c>
      <x:c r="I15" s="14" t="str">
        <x:v>Deploy</x:v>
      </x:c>
      <x:c r="J15" s="14" t="str"/>
      <x:c r="K15" s="14" t="str">
        <x:v>Not Tested</x:v>
      </x:c>
      <x:c r="L15" s="14" t="str"/>
      <x:c r="M15" s="14" t="str"/>
      <x:c r="N15" s="14" t="str"/>
    </x:row>
    <x:row r="16">
      <x:c r="A16" s="14" t="str">
        <x:v>EX-015</x:v>
      </x:c>
      <x:c r="B16" s="14" t="str">
        <x:v>Global Navigation</x:v>
      </x:c>
      <x:c r="C16" s="14" t="str">
        <x:v>All routes</x:v>
      </x:c>
      <x:c r="D16" s="14" t="str">
        <x:v>Back/Forward browser</x:v>
      </x:c>
      <x:c r="E16" s="14" t="str">
        <x:v>Đi qua 2-3 route</x:v>
      </x:c>
      <x:c r="F16" s="14" t="str">
        <x:v>Bấm nút Back/Forward của trình duyệt</x:v>
      </x:c>
      <x:c r="G16" s="14" t="str">
        <x:v>Điều hướng đúng, không mất state bất thường</x:v>
      </x:c>
      <x:c r="H16" s="14" t="str">
        <x:v>P2 Medium</x:v>
      </x:c>
      <x:c r="I16" s="14" t="str">
        <x:v>Route</x:v>
      </x:c>
      <x:c r="J16" s="14" t="str"/>
      <x:c r="K16" s="14" t="str">
        <x:v>Not Tested</x:v>
      </x:c>
      <x:c r="L16" s="14" t="str"/>
      <x:c r="M16" s="14" t="str"/>
      <x:c r="N16" s="14" t="str"/>
    </x:row>
    <x:row r="17">
      <x:c r="A17" s="14" t="str">
        <x:v>EX-016</x:v>
      </x:c>
      <x:c r="B17" s="14" t="str">
        <x:v>Authentication &amp; Permission</x:v>
      </x:c>
      <x:c r="C17" s="14" t="str">
        <x:v>/dang-nhap, /admin, protected routes</x:v>
      </x:c>
      <x:c r="D17" s="14" t="str">
        <x:v>Form đăng nhập rỗng</x:v>
      </x:c>
      <x:c r="E17" s="14" t="str">
        <x:v>Guest ở `/dang-nhap`</x:v>
      </x:c>
      <x:c r="F17" s="14" t="str">
        <x:v>Bấm Đăng nhập khi email/password trống</x:v>
      </x:c>
      <x:c r="G17" s="14" t="str">
        <x:v>Hiện lỗi bắt buộc nhập, không gọi login vô ích</x:v>
      </x:c>
      <x:c r="H17" s="14" t="str">
        <x:v>P1 High</x:v>
      </x:c>
      <x:c r="I17" s="14" t="str">
        <x:v>Validation</x:v>
      </x:c>
      <x:c r="J17" s="14" t="str"/>
      <x:c r="K17" s="14" t="str">
        <x:v>Not Tested</x:v>
      </x:c>
      <x:c r="L17" s="14" t="str"/>
      <x:c r="M17" s="14" t="str"/>
      <x:c r="N17" s="14" t="str"/>
    </x:row>
    <x:row r="18">
      <x:c r="A18" s="14" t="str">
        <x:v>EX-017</x:v>
      </x:c>
      <x:c r="B18" s="14" t="str">
        <x:v>Authentication &amp; Permission</x:v>
      </x:c>
      <x:c r="C18" s="14" t="str">
        <x:v>/dang-nhap, /admin, protected routes</x:v>
      </x:c>
      <x:c r="D18" s="14" t="str">
        <x:v>Email sai định dạng</x:v>
      </x:c>
      <x:c r="E18" s="14" t="str">
        <x:v>Guest ở `/dang-nhap`</x:v>
      </x:c>
      <x:c r="F18" s="14" t="str">
        <x:v>Nhập email không có @ rồi submit</x:v>
      </x:c>
      <x:c r="G18" s="14" t="str">
        <x:v>Báo lỗi email không hợp lệ</x:v>
      </x:c>
      <x:c r="H18" s="14" t="str">
        <x:v>P1 High</x:v>
      </x:c>
      <x:c r="I18" s="14" t="str">
        <x:v>Validation</x:v>
      </x:c>
      <x:c r="J18" s="14" t="str"/>
      <x:c r="K18" s="14" t="str">
        <x:v>Not Tested</x:v>
      </x:c>
      <x:c r="L18" s="14" t="str"/>
      <x:c r="M18" s="14" t="str"/>
      <x:c r="N18" s="14" t="str"/>
    </x:row>
    <x:row r="19">
      <x:c r="A19" s="14" t="str">
        <x:v>EX-018</x:v>
      </x:c>
      <x:c r="B19" s="14" t="str">
        <x:v>Authentication &amp; Permission</x:v>
      </x:c>
      <x:c r="C19" s="14" t="str">
        <x:v>/dang-nhap, /admin, protected routes</x:v>
      </x:c>
      <x:c r="D19" s="14" t="str">
        <x:v>Sai mật khẩu</x:v>
      </x:c>
      <x:c r="E19" s="14" t="str">
        <x:v>Có tài khoản user</x:v>
      </x:c>
      <x:c r="F19" s="14" t="str">
        <x:v>Nhập email đúng + password sai</x:v>
      </x:c>
      <x:c r="G19" s="14" t="str">
        <x:v>Báo lỗi rõ, không crash/trắng trang</x:v>
      </x:c>
      <x:c r="H19" s="14" t="str">
        <x:v>P1 High</x:v>
      </x:c>
      <x:c r="I19" s="14" t="str">
        <x:v>Functional</x:v>
      </x:c>
      <x:c r="J19" s="14" t="str"/>
      <x:c r="K19" s="14" t="str">
        <x:v>Not Tested</x:v>
      </x:c>
      <x:c r="L19" s="14" t="str"/>
      <x:c r="M19" s="14" t="str"/>
      <x:c r="N19" s="14" t="str"/>
    </x:row>
    <x:row r="20">
      <x:c r="A20" s="14" t="str">
        <x:v>EX-019</x:v>
      </x:c>
      <x:c r="B20" s="14" t="str">
        <x:v>Authentication &amp; Permission</x:v>
      </x:c>
      <x:c r="C20" s="14" t="str">
        <x:v>/dang-nhap, /admin, protected routes</x:v>
      </x:c>
      <x:c r="D20" s="14" t="str">
        <x:v>Đăng nhập user đúng</x:v>
      </x:c>
      <x:c r="E20" s="14" t="str">
        <x:v>Có tài khoản user</x:v>
      </x:c>
      <x:c r="F20" s="14" t="str">
        <x:v>Login bằng tài khoản user thường</x:v>
      </x:c>
      <x:c r="G20" s="14" t="str">
        <x:v>Login thành công, navbar đổi trạng thái user</x:v>
      </x:c>
      <x:c r="H20" s="14" t="str">
        <x:v>P0 Critical</x:v>
      </x:c>
      <x:c r="I20" s="14" t="str">
        <x:v>Functional</x:v>
      </x:c>
      <x:c r="J20" s="14" t="str"/>
      <x:c r="K20" s="14" t="str">
        <x:v>Not Tested</x:v>
      </x:c>
      <x:c r="L20" s="14" t="str"/>
      <x:c r="M20" s="14" t="str"/>
      <x:c r="N20" s="14" t="str"/>
    </x:row>
    <x:row r="21">
      <x:c r="A21" s="14" t="str">
        <x:v>EX-020</x:v>
      </x:c>
      <x:c r="B21" s="14" t="str">
        <x:v>Authentication &amp; Permission</x:v>
      </x:c>
      <x:c r="C21" s="14" t="str">
        <x:v>/dang-nhap, /admin, protected routes</x:v>
      </x:c>
      <x:c r="D21" s="14" t="str">
        <x:v>Đăng nhập admin đúng</x:v>
      </x:c>
      <x:c r="E21" s="14" t="str">
        <x:v>Có tài khoản admin</x:v>
      </x:c>
      <x:c r="F21" s="14" t="str">
        <x:v>Login admin rồi vào `/admin`</x:v>
      </x:c>
      <x:c r="G21" s="14" t="str">
        <x:v>Vào được dashboard admin</x:v>
      </x:c>
      <x:c r="H21" s="14" t="str">
        <x:v>P0 Critical</x:v>
      </x:c>
      <x:c r="I21" s="14" t="str">
        <x:v>Permission</x:v>
      </x:c>
      <x:c r="J21" s="14" t="str"/>
      <x:c r="K21" s="14" t="str">
        <x:v>Not Tested</x:v>
      </x:c>
      <x:c r="L21" s="14" t="str"/>
      <x:c r="M21" s="14" t="str"/>
      <x:c r="N21" s="14" t="str"/>
    </x:row>
    <x:row r="22">
      <x:c r="A22" s="14" t="str">
        <x:v>EX-021</x:v>
      </x:c>
      <x:c r="B22" s="14" t="str">
        <x:v>Authentication &amp; Permission</x:v>
      </x:c>
      <x:c r="C22" s="14" t="str">
        <x:v>/dang-nhap, /admin, protected routes</x:v>
      </x:c>
      <x:c r="D22" s="14" t="str">
        <x:v>Đăng xuất</x:v>
      </x:c>
      <x:c r="E22" s="14" t="str">
        <x:v>Đang login</x:v>
      </x:c>
      <x:c r="F22" s="14" t="str">
        <x:v>Bấm logout</x:v>
      </x:c>
      <x:c r="G22" s="14" t="str">
        <x:v>Đăng xuất, về trạng thái guest, route bảo vệ bị chặn</x:v>
      </x:c>
      <x:c r="H22" s="14" t="str">
        <x:v>P0 Critical</x:v>
      </x:c>
      <x:c r="I22" s="14" t="str">
        <x:v>Functional</x:v>
      </x:c>
      <x:c r="J22" s="14" t="str"/>
      <x:c r="K22" s="14" t="str">
        <x:v>Not Tested</x:v>
      </x:c>
      <x:c r="L22" s="14" t="str"/>
      <x:c r="M22" s="14" t="str"/>
      <x:c r="N22" s="14" t="str"/>
    </x:row>
    <x:row r="23">
      <x:c r="A23" s="14" t="str">
        <x:v>EX-022</x:v>
      </x:c>
      <x:c r="B23" s="14" t="str">
        <x:v>Authentication &amp; Permission</x:v>
      </x:c>
      <x:c r="C23" s="14" t="str">
        <x:v>/dang-nhap, /admin, protected routes</x:v>
      </x:c>
      <x:c r="D23" s="14" t="str">
        <x:v>Session sau reload</x:v>
      </x:c>
      <x:c r="E23" s="14" t="str">
        <x:v>Đang login user</x:v>
      </x:c>
      <x:c r="F23" s="14" t="str">
        <x:v>F5 trang</x:v>
      </x:c>
      <x:c r="G23" s="14" t="str">
        <x:v>Nếu app có lưu session thì vẫn nhận user; nếu không thì điều hướng hợp lý</x:v>
      </x:c>
      <x:c r="H23" s="14" t="str">
        <x:v>P1 High</x:v>
      </x:c>
      <x:c r="I23" s="14" t="str">
        <x:v>Data Persistence</x:v>
      </x:c>
      <x:c r="J23" s="14" t="str"/>
      <x:c r="K23" s="14" t="str">
        <x:v>Not Tested</x:v>
      </x:c>
      <x:c r="L23" s="14" t="str"/>
      <x:c r="M23" s="14" t="str"/>
      <x:c r="N23" s="14" t="str"/>
    </x:row>
    <x:row r="24">
      <x:c r="A24" s="14" t="str">
        <x:v>EX-023</x:v>
      </x:c>
      <x:c r="B24" s="14" t="str">
        <x:v>Authentication &amp; Permission</x:v>
      </x:c>
      <x:c r="C24" s="14" t="str">
        <x:v>/dang-nhap, /admin, protected routes</x:v>
      </x:c>
      <x:c r="D24" s="14" t="str">
        <x:v>Guest vào `/dang-bai`</x:v>
      </x:c>
      <x:c r="E24" s="14" t="str">
        <x:v>Chưa đăng nhập</x:v>
      </x:c>
      <x:c r="F24" s="14" t="str">
        <x:v>Gõ trực tiếp `/dang-bai`</x:v>
      </x:c>
      <x:c r="G24" s="14" t="str">
        <x:v>Bị chặn và chuyển về đăng nhập hoặc hiện thông báo</x:v>
      </x:c>
      <x:c r="H24" s="14" t="str">
        <x:v>P0 Critical</x:v>
      </x:c>
      <x:c r="I24" s="14" t="str">
        <x:v>Permission</x:v>
      </x:c>
      <x:c r="J24" s="14" t="str"/>
      <x:c r="K24" s="14" t="str">
        <x:v>Not Tested</x:v>
      </x:c>
      <x:c r="L24" s="14" t="str"/>
      <x:c r="M24" s="14" t="str"/>
      <x:c r="N24" s="14" t="str"/>
    </x:row>
    <x:row r="25">
      <x:c r="A25" s="14" t="str">
        <x:v>EX-024</x:v>
      </x:c>
      <x:c r="B25" s="14" t="str">
        <x:v>Authentication &amp; Permission</x:v>
      </x:c>
      <x:c r="C25" s="14" t="str">
        <x:v>/dang-nhap, /admin, protected routes</x:v>
      </x:c>
      <x:c r="D25" s="14" t="str">
        <x:v>Guest vào `/bai-da-luu`</x:v>
      </x:c>
      <x:c r="E25" s="14" t="str">
        <x:v>Chưa đăng nhập</x:v>
      </x:c>
      <x:c r="F25" s="14" t="str">
        <x:v>Gõ trực tiếp `/bai-da-luu`</x:v>
      </x:c>
      <x:c r="G25" s="14" t="str">
        <x:v>Bị chặn, không lộ dữ liệu người dùng</x:v>
      </x:c>
      <x:c r="H25" s="14" t="str">
        <x:v>P0 Critical</x:v>
      </x:c>
      <x:c r="I25" s="14" t="str">
        <x:v>Permission</x:v>
      </x:c>
      <x:c r="J25" s="14" t="str"/>
      <x:c r="K25" s="14" t="str">
        <x:v>Not Tested</x:v>
      </x:c>
      <x:c r="L25" s="14" t="str"/>
      <x:c r="M25" s="14" t="str"/>
      <x:c r="N25" s="14" t="str"/>
    </x:row>
    <x:row r="26">
      <x:c r="A26" s="14" t="str">
        <x:v>EX-025</x:v>
      </x:c>
      <x:c r="B26" s="14" t="str">
        <x:v>Authentication &amp; Permission</x:v>
      </x:c>
      <x:c r="C26" s="14" t="str">
        <x:v>/dang-nhap, /admin, protected routes</x:v>
      </x:c>
      <x:c r="D26" s="14" t="str">
        <x:v>User thường vào `/admin`</x:v>
      </x:c>
      <x:c r="E26" s="14" t="str">
        <x:v>Login user thường</x:v>
      </x:c>
      <x:c r="F26" s="14" t="str">
        <x:v>Gõ trực tiếp `/admin`</x:v>
      </x:c>
      <x:c r="G26" s="14" t="str">
        <x:v>Bị từ chối quyền, không thấy dashboard</x:v>
      </x:c>
      <x:c r="H26" s="14" t="str">
        <x:v>P0 Critical</x:v>
      </x:c>
      <x:c r="I26" s="14" t="str">
        <x:v>Security/Permission</x:v>
      </x:c>
      <x:c r="J26" s="14" t="str"/>
      <x:c r="K26" s="14" t="str">
        <x:v>Not Tested</x:v>
      </x:c>
      <x:c r="L26" s="14" t="str"/>
      <x:c r="M26" s="14" t="str"/>
      <x:c r="N26" s="14" t="str"/>
    </x:row>
    <x:row r="27">
      <x:c r="A27" s="14" t="str">
        <x:v>EX-026</x:v>
      </x:c>
      <x:c r="B27" s="14" t="str">
        <x:v>Authentication &amp; Permission</x:v>
      </x:c>
      <x:c r="C27" s="14" t="str">
        <x:v>/dang-nhap, /admin, protected routes</x:v>
      </x:c>
      <x:c r="D27" s="14" t="str">
        <x:v>Admin logout khỏi admin</x:v>
      </x:c>
      <x:c r="E27" s="14" t="str">
        <x:v>Login admin ở dashboard</x:v>
      </x:c>
      <x:c r="F27" s="14" t="str">
        <x:v>Bấm logout</x:v>
      </x:c>
      <x:c r="G27" s="14" t="str">
        <x:v>Thoát hẳn khỏi admin, route `/admin` bị chặn</x:v>
      </x:c>
      <x:c r="H27" s="14" t="str">
        <x:v>P0 Critical</x:v>
      </x:c>
      <x:c r="I27" s="14" t="str">
        <x:v>Permission</x:v>
      </x:c>
      <x:c r="J27" s="14" t="str"/>
      <x:c r="K27" s="14" t="str">
        <x:v>Not Tested</x:v>
      </x:c>
      <x:c r="L27" s="14" t="str"/>
      <x:c r="M27" s="14" t="str"/>
      <x:c r="N27" s="14" t="str"/>
    </x:row>
    <x:row r="28">
      <x:c r="A28" s="14" t="str">
        <x:v>EX-027</x:v>
      </x:c>
      <x:c r="B28" s="14" t="str">
        <x:v>Authentication &amp; Permission</x:v>
      </x:c>
      <x:c r="C28" s="14" t="str">
        <x:v>/dang-nhap, /admin, protected routes</x:v>
      </x:c>
      <x:c r="D28" s="14" t="str">
        <x:v>Loading auth</x:v>
      </x:c>
      <x:c r="E28" s="14" t="str">
        <x:v>Mạng chậm hoặc reload</x:v>
      </x:c>
      <x:c r="F28" s="14" t="str">
        <x:v>Quan sát lúc app kiểm tra session</x:v>
      </x:c>
      <x:c r="G28" s="14" t="str">
        <x:v>Có loading state, không flash admin cho user thường</x:v>
      </x:c>
      <x:c r="H28" s="14" t="str">
        <x:v>P1 High</x:v>
      </x:c>
      <x:c r="I28" s="14" t="str">
        <x:v>UX/Security</x:v>
      </x:c>
      <x:c r="J28" s="14" t="str"/>
      <x:c r="K28" s="14" t="str">
        <x:v>Not Tested</x:v>
      </x:c>
      <x:c r="L28" s="14" t="str"/>
      <x:c r="M28" s="14" t="str"/>
      <x:c r="N28" s="14" t="str"/>
    </x:row>
    <x:row r="29">
      <x:c r="A29" s="14" t="str">
        <x:v>EX-028</x:v>
      </x:c>
      <x:c r="B29" s="14" t="str">
        <x:v>User Profile / Avatar / Settings</x:v>
      </x:c>
      <x:c r="C29" s="14" t="str">
        <x:v>/profile or avatar dropdown</x:v>
      </x:c>
      <x:c r="D29" s="14" t="str">
        <x:v>Avatar trên navbar sau login</x:v>
      </x:c>
      <x:c r="E29" s="14" t="str">
        <x:v>User đã login</x:v>
      </x:c>
      <x:c r="F29" s="14" t="str">
        <x:v>Quan sát navbar/avatar</x:v>
      </x:c>
      <x:c r="G29" s="14" t="str">
        <x:v>Có avatar hoặc icon mặc định; không bị ảnh vỡ/null</x:v>
      </x:c>
      <x:c r="H29" s="14" t="str">
        <x:v>P1 High</x:v>
      </x:c>
      <x:c r="I29" s="14" t="str">
        <x:v>UI/UX</x:v>
      </x:c>
      <x:c r="J29" s="14" t="str"/>
      <x:c r="K29" s="14" t="str">
        <x:v>Not Tested</x:v>
      </x:c>
      <x:c r="L29" s="14" t="str"/>
      <x:c r="M29" s="14" t="str"/>
      <x:c r="N29" s="14" t="str"/>
    </x:row>
    <x:row r="30">
      <x:c r="A30" s="14" t="str">
        <x:v>EX-029</x:v>
      </x:c>
      <x:c r="B30" s="14" t="str">
        <x:v>User Profile / Avatar / Settings</x:v>
      </x:c>
      <x:c r="C30" s="14" t="str">
        <x:v>/profile or avatar dropdown</x:v>
      </x:c>
      <x:c r="D30" s="14" t="str">
        <x:v>Click avatar</x:v>
      </x:c>
      <x:c r="E30" s="14" t="str">
        <x:v>User đã login</x:v>
      </x:c>
      <x:c r="F30" s="14" t="str">
        <x:v>Bấm avatar hoặc tên user</x:v>
      </x:c>
      <x:c r="G30" s="14" t="str">
        <x:v>Mở dropdown/menu tài khoản hoặc đi tới trang thông tin; nếu chưa có thì cần quyết định làm/ẩn</x:v>
      </x:c>
      <x:c r="H30" s="14" t="str">
        <x:v>P1 High</x:v>
      </x:c>
      <x:c r="I30" s="14" t="str">
        <x:v>Scope Check</x:v>
      </x:c>
      <x:c r="J30" s="14" t="str"/>
      <x:c r="K30" s="14" t="str">
        <x:v>Not Tested</x:v>
      </x:c>
      <x:c r="L30" s="14" t="str"/>
      <x:c r="M30" s="14" t="str"/>
      <x:c r="N30" s="14" t="str"/>
    </x:row>
    <x:row r="31">
      <x:c r="A31" s="14" t="str">
        <x:v>EX-030</x:v>
      </x:c>
      <x:c r="B31" s="14" t="str">
        <x:v>User Profile / Avatar / Settings</x:v>
      </x:c>
      <x:c r="C31" s="14" t="str">
        <x:v>/profile or avatar dropdown</x:v>
      </x:c>
      <x:c r="D31" s="14" t="str">
        <x:v>Dropdown avatar có mục thông tin</x:v>
      </x:c>
      <x:c r="E31" s="14" t="str">
        <x:v>User đã login và mở dropdown</x:v>
      </x:c>
      <x:c r="F31" s="14" t="str">
        <x:v>Kiểm tra menu avatar</x:v>
      </x:c>
      <x:c r="G31" s="14" t="str">
        <x:v>Có mục Thông tin tài khoản/Hồ sơ nếu UI đang gợi ý có profile</x:v>
      </x:c>
      <x:c r="H31" s="14" t="str">
        <x:v>P2 Medium</x:v>
      </x:c>
      <x:c r="I31" s="14" t="str">
        <x:v>Scope Check</x:v>
      </x:c>
      <x:c r="J31" s="14" t="str"/>
      <x:c r="K31" s="14" t="str">
        <x:v>Not Tested</x:v>
      </x:c>
      <x:c r="L31" s="14" t="str"/>
      <x:c r="M31" s="14" t="str"/>
      <x:c r="N31" s="14" t="str"/>
    </x:row>
    <x:row r="32">
      <x:c r="A32" s="14" t="str">
        <x:v>EX-031</x:v>
      </x:c>
      <x:c r="B32" s="14" t="str">
        <x:v>User Profile / Avatar / Settings</x:v>
      </x:c>
      <x:c r="C32" s="14" t="str">
        <x:v>/profile or avatar dropdown</x:v>
      </x:c>
      <x:c r="D32" s="14" t="str">
        <x:v>Dropdown avatar có Đăng xuất</x:v>
      </x:c>
      <x:c r="E32" s="14" t="str">
        <x:v>User đã login và mở dropdown</x:v>
      </x:c>
      <x:c r="F32" s="14" t="str">
        <x:v>Bấm Đăng xuất</x:v>
      </x:c>
      <x:c r="G32" s="14" t="str">
        <x:v>Logout hoạt động rõ ràng</x:v>
      </x:c>
      <x:c r="H32" s="14" t="str">
        <x:v>P0 Critical</x:v>
      </x:c>
      <x:c r="I32" s="14" t="str">
        <x:v>Functional</x:v>
      </x:c>
      <x:c r="J32" s="14" t="str"/>
      <x:c r="K32" s="14" t="str">
        <x:v>Not Tested</x:v>
      </x:c>
      <x:c r="L32" s="14" t="str"/>
      <x:c r="M32" s="14" t="str"/>
      <x:c r="N32" s="14" t="str"/>
    </x:row>
    <x:row r="33">
      <x:c r="A33" s="14" t="str">
        <x:v>EX-032</x:v>
      </x:c>
      <x:c r="B33" s="14" t="str">
        <x:v>User Profile / Avatar / Settings</x:v>
      </x:c>
      <x:c r="C33" s="14" t="str">
        <x:v>/profile or avatar dropdown</x:v>
      </x:c>
      <x:c r="D33" s="14" t="str">
        <x:v>Trang thông tin người dùng tồn tại</x:v>
      </x:c>
      <x:c r="E33" s="14" t="str">
        <x:v>User đã login</x:v>
      </x:c>
      <x:c r="F33" s="14" t="str">
        <x:v>Bấm Thông tin tài khoản nếu có</x:v>
      </x:c>
      <x:c r="G33" s="14" t="str">
        <x:v>Mở trang/profile modal; nếu không có route thì nút không được để chết</x:v>
      </x:c>
      <x:c r="H33" s="14" t="str">
        <x:v>P1 High</x:v>
      </x:c>
      <x:c r="I33" s="14" t="str">
        <x:v>Scope Check</x:v>
      </x:c>
      <x:c r="J33" s="14" t="str"/>
      <x:c r="K33" s="14" t="str">
        <x:v>Not Tested</x:v>
      </x:c>
      <x:c r="L33" s="14" t="str"/>
      <x:c r="M33" s="14" t="str"/>
      <x:c r="N33" s="14" t="str"/>
    </x:row>
    <x:row r="34">
      <x:c r="A34" s="14" t="str">
        <x:v>EX-033</x:v>
      </x:c>
      <x:c r="B34" s="14" t="str">
        <x:v>User Profile / Avatar / Settings</x:v>
      </x:c>
      <x:c r="C34" s="14" t="str">
        <x:v>/profile or avatar dropdown</x:v>
      </x:c>
      <x:c r="D34" s="14" t="str">
        <x:v>Hiển thị email/tên user</x:v>
      </x:c>
      <x:c r="E34" s="14" t="str">
        <x:v>Ở profile</x:v>
      </x:c>
      <x:c r="F34" s="14" t="str">
        <x:v>Quan sát thông tin</x:v>
      </x:c>
      <x:c r="G34" s="14" t="str">
        <x:v>Hiện email/tên đúng theo tài khoản đang login, không hard-code sai</x:v>
      </x:c>
      <x:c r="H34" s="14" t="str">
        <x:v>P1 High</x:v>
      </x:c>
      <x:c r="I34" s="14" t="str">
        <x:v>Functional</x:v>
      </x:c>
      <x:c r="J34" s="14" t="str"/>
      <x:c r="K34" s="14" t="str">
        <x:v>Not Tested</x:v>
      </x:c>
      <x:c r="L34" s="14" t="str"/>
      <x:c r="M34" s="14" t="str"/>
      <x:c r="N34" s="14" t="str"/>
    </x:row>
    <x:row r="35">
      <x:c r="A35" s="14" t="str">
        <x:v>EX-034</x:v>
      </x:c>
      <x:c r="B35" s="14" t="str">
        <x:v>User Profile / Avatar / Settings</x:v>
      </x:c>
      <x:c r="C35" s="14" t="str">
        <x:v>/profile or avatar dropdown</x:v>
      </x:c>
      <x:c r="D35" s="14" t="str">
        <x:v>Đổi avatar nếu có</x:v>
      </x:c>
      <x:c r="E35" s="14" t="str">
        <x:v>Ở profile/setting</x:v>
      </x:c>
      <x:c r="F35" s="14" t="str">
        <x:v>Upload/chọn avatar</x:v>
      </x:c>
      <x:c r="G35" s="14" t="str">
        <x:v>Avatar cập nhật hoặc báo chưa hỗ trợ; không im lặng</x:v>
      </x:c>
      <x:c r="H35" s="14" t="str">
        <x:v>P2 Medium</x:v>
      </x:c>
      <x:c r="I35" s="14" t="str">
        <x:v>Functional</x:v>
      </x:c>
      <x:c r="J35" s="14" t="str"/>
      <x:c r="K35" s="14" t="str">
        <x:v>Not Tested</x:v>
      </x:c>
      <x:c r="L35" s="14" t="str"/>
      <x:c r="M35" s="14" t="str"/>
      <x:c r="N35" s="14" t="str"/>
    </x:row>
    <x:row r="36">
      <x:c r="A36" s="14" t="str">
        <x:v>EX-035</x:v>
      </x:c>
      <x:c r="B36" s="14" t="str">
        <x:v>User Profile / Avatar / Settings</x:v>
      </x:c>
      <x:c r="C36" s="14" t="str">
        <x:v>/profile or avatar dropdown</x:v>
      </x:c>
      <x:c r="D36" s="14" t="str">
        <x:v>Avatar ảnh lỗi</x:v>
      </x:c>
      <x:c r="E36" s="14" t="str">
        <x:v>Dùng avatar URL lỗi hoặc bỏ ảnh</x:v>
      </x:c>
      <x:c r="F36" s="14" t="str">
        <x:v>Load giao diện</x:v>
      </x:c>
      <x:c r="G36" s="14" t="str">
        <x:v>Fallback về avatar mặc định, không vỡ layout</x:v>
      </x:c>
      <x:c r="H36" s="14" t="str">
        <x:v>P2 Medium</x:v>
      </x:c>
      <x:c r="I36" s="14" t="str">
        <x:v>UI/UX</x:v>
      </x:c>
      <x:c r="J36" s="14" t="str"/>
      <x:c r="K36" s="14" t="str">
        <x:v>Not Tested</x:v>
      </x:c>
      <x:c r="L36" s="14" t="str"/>
      <x:c r="M36" s="14" t="str"/>
      <x:c r="N36" s="14" t="str"/>
    </x:row>
    <x:row r="37">
      <x:c r="A37" s="14" t="str">
        <x:v>EX-036</x:v>
      </x:c>
      <x:c r="B37" s="14" t="str">
        <x:v>User Profile / Avatar / Settings</x:v>
      </x:c>
      <x:c r="C37" s="14" t="str">
        <x:v>/profile or avatar dropdown</x:v>
      </x:c>
      <x:c r="D37" s="14" t="str">
        <x:v>Setting account tồn tại</x:v>
      </x:c>
      <x:c r="E37" s="14" t="str">
        <x:v>User đã login</x:v>
      </x:c>
      <x:c r="F37" s="14" t="str">
        <x:v>Tìm nút setting/cài đặt</x:v>
      </x:c>
      <x:c r="G37" s="14" t="str">
        <x:v>Nếu có icon/nút setting thì phải mở được giao diện cài đặt</x:v>
      </x:c>
      <x:c r="H37" s="14" t="str">
        <x:v>P1 High</x:v>
      </x:c>
      <x:c r="I37" s="14" t="str">
        <x:v>Scope Check</x:v>
      </x:c>
      <x:c r="J37" s="14" t="str"/>
      <x:c r="K37" s="14" t="str">
        <x:v>Not Tested</x:v>
      </x:c>
      <x:c r="L37" s="14" t="str"/>
      <x:c r="M37" s="14" t="str"/>
      <x:c r="N37" s="14" t="str"/>
    </x:row>
    <x:row r="38">
      <x:c r="A38" s="14" t="str">
        <x:v>EX-037</x:v>
      </x:c>
      <x:c r="B38" s="14" t="str">
        <x:v>User Profile / Avatar / Settings</x:v>
      </x:c>
      <x:c r="C38" s="14" t="str">
        <x:v>/profile or avatar dropdown</x:v>
      </x:c>
      <x:c r="D38" s="14" t="str">
        <x:v>Setting đổi tên nếu có</x:v>
      </x:c>
      <x:c r="E38" s="14" t="str">
        <x:v>Ở cài đặt</x:v>
      </x:c>
      <x:c r="F38" s="14" t="str">
        <x:v>Nhập tên mới và lưu</x:v>
      </x:c>
      <x:c r="G38" s="14" t="str">
        <x:v>Tên mới cập nhật hoặc có thông báo chưa hỗ trợ</x:v>
      </x:c>
      <x:c r="H38" s="14" t="str">
        <x:v>P2 Medium</x:v>
      </x:c>
      <x:c r="I38" s="14" t="str">
        <x:v>Functional</x:v>
      </x:c>
      <x:c r="J38" s="14" t="str"/>
      <x:c r="K38" s="14" t="str">
        <x:v>Not Tested</x:v>
      </x:c>
      <x:c r="L38" s="14" t="str"/>
      <x:c r="M38" s="14" t="str"/>
      <x:c r="N38" s="14" t="str"/>
    </x:row>
    <x:row r="39">
      <x:c r="A39" s="14" t="str">
        <x:v>EX-038</x:v>
      </x:c>
      <x:c r="B39" s="14" t="str">
        <x:v>User Profile / Avatar / Settings</x:v>
      </x:c>
      <x:c r="C39" s="14" t="str">
        <x:v>/profile or avatar dropdown</x:v>
      </x:c>
      <x:c r="D39" s="14" t="str">
        <x:v>Setting validate tên rỗng</x:v>
      </x:c>
      <x:c r="E39" s="14" t="str">
        <x:v>Ở cài đặt</x:v>
      </x:c>
      <x:c r="F39" s="14" t="str">
        <x:v>Xóa tên rồi lưu</x:v>
      </x:c>
      <x:c r="G39" s="14" t="str">
        <x:v>Báo lỗi, không lưu tên rỗng</x:v>
      </x:c>
      <x:c r="H39" s="14" t="str">
        <x:v>P2 Medium</x:v>
      </x:c>
      <x:c r="I39" s="14" t="str">
        <x:v>Validation</x:v>
      </x:c>
      <x:c r="J39" s="14" t="str"/>
      <x:c r="K39" s="14" t="str">
        <x:v>Not Tested</x:v>
      </x:c>
      <x:c r="L39" s="14" t="str"/>
      <x:c r="M39" s="14" t="str"/>
      <x:c r="N39" s="14" t="str"/>
    </x:row>
    <x:row r="40">
      <x:c r="A40" s="14" t="str">
        <x:v>EX-039</x:v>
      </x:c>
      <x:c r="B40" s="14" t="str">
        <x:v>User Profile / Avatar / Settings</x:v>
      </x:c>
      <x:c r="C40" s="14" t="str">
        <x:v>/profile or avatar dropdown</x:v>
      </x:c>
      <x:c r="D40" s="14" t="str">
        <x:v>Không lộ dữ liệu user khác</x:v>
      </x:c>
      <x:c r="E40" s="14" t="str">
        <x:v>Login 2 tài khoản khác nhau</x:v>
      </x:c>
      <x:c r="F40" s="14" t="str">
        <x:v>Kiểm tra profile từng tài khoản</x:v>
      </x:c>
      <x:c r="G40" s="14" t="str">
        <x:v>Không hiển thị email/tên/bài lưu của tài khoản khác</x:v>
      </x:c>
      <x:c r="H40" s="14" t="str">
        <x:v>P0 Critical</x:v>
      </x:c>
      <x:c r="I40" s="14" t="str">
        <x:v>Security/Permission</x:v>
      </x:c>
      <x:c r="J40" s="14" t="str"/>
      <x:c r="K40" s="14" t="str">
        <x:v>Not Tested</x:v>
      </x:c>
      <x:c r="L40" s="14" t="str"/>
      <x:c r="M40" s="14" t="str"/>
      <x:c r="N40" s="14" t="str"/>
    </x:row>
    <x:row r="41">
      <x:c r="A41" s="14" t="str">
        <x:v>EX-040</x:v>
      </x:c>
      <x:c r="B41" s="14" t="str">
        <x:v>User Profile / Avatar / Settings</x:v>
      </x:c>
      <x:c r="C41" s="14" t="str">
        <x:v>/profile or avatar dropdown</x:v>
      </x:c>
      <x:c r="D41" s="14" t="str">
        <x:v>Guest không thấy avatar user</x:v>
      </x:c>
      <x:c r="E41" s="14" t="str">
        <x:v>Chưa đăng nhập</x:v>
      </x:c>
      <x:c r="F41" s="14" t="str">
        <x:v>Quan sát navbar</x:v>
      </x:c>
      <x:c r="G41" s="14" t="str">
        <x:v>Không hiện avatar/tên user giả; chỉ hiện đăng nhập/đăng ký</x:v>
      </x:c>
      <x:c r="H41" s="14" t="str">
        <x:v>P1 High</x:v>
      </x:c>
      <x:c r="I41" s="14" t="str">
        <x:v>UI/UX</x:v>
      </x:c>
      <x:c r="J41" s="14" t="str"/>
      <x:c r="K41" s="14" t="str">
        <x:v>Not Tested</x:v>
      </x:c>
      <x:c r="L41" s="14" t="str"/>
      <x:c r="M41" s="14" t="str"/>
      <x:c r="N41" s="14" t="str"/>
    </x:row>
    <x:row r="42">
      <x:c r="A42" s="14" t="str">
        <x:v>EX-041</x:v>
      </x:c>
      <x:c r="B42" s="14" t="str">
        <x:v>User Profile / Avatar / Settings</x:v>
      </x:c>
      <x:c r="C42" s="14" t="str">
        <x:v>/profile or avatar dropdown</x:v>
      </x:c>
      <x:c r="D42" s="14" t="str">
        <x:v>Nút profile không bị chết</x:v>
      </x:c>
      <x:c r="E42" s="14" t="str">
        <x:v>User đã login</x:v>
      </x:c>
      <x:c r="F42" s="14" t="str">
        <x:v>Click mọi item trong avatar dropdown</x:v>
      </x:c>
      <x:c r="G42" s="14" t="str">
        <x:v>Mỗi item có hành động hoặc bị ẩn, không có item chết</x:v>
      </x:c>
      <x:c r="H42" s="14" t="str">
        <x:v>P1 High</x:v>
      </x:c>
      <x:c r="I42" s="14" t="str">
        <x:v>Functional</x:v>
      </x:c>
      <x:c r="J42" s="14" t="str"/>
      <x:c r="K42" s="14" t="str">
        <x:v>Not Tested</x:v>
      </x:c>
      <x:c r="L42" s="14" t="str"/>
      <x:c r="M42" s="14" t="str"/>
      <x:c r="N42" s="14" t="str"/>
    </x:row>
    <x:row r="43">
      <x:c r="A43" s="14" t="str">
        <x:v>EX-042</x:v>
      </x:c>
      <x:c r="B43" s="14" t="str">
        <x:v>User Profile / Avatar / Settings</x:v>
      </x:c>
      <x:c r="C43" s="14" t="str">
        <x:v>/profile or avatar dropdown</x:v>
      </x:c>
      <x:c r="D43" s="14" t="str">
        <x:v>Layout profile mobile</x:v>
      </x:c>
      <x:c r="E43" s="14" t="str">
        <x:v>Mở profile ở 375px</x:v>
      </x:c>
      <x:c r="F43" s="14" t="str">
        <x:v>Quan sát form/avatar</x:v>
      </x:c>
      <x:c r="G43" s="14" t="str">
        <x:v>Không tràn ngang, nút lưu/đóng dễ bấm</x:v>
      </x:c>
      <x:c r="H43" s="14" t="str">
        <x:v>P2 Medium</x:v>
      </x:c>
      <x:c r="I43" s="14" t="str">
        <x:v>Responsive</x:v>
      </x:c>
      <x:c r="J43" s="14" t="str"/>
      <x:c r="K43" s="14" t="str">
        <x:v>Not Tested</x:v>
      </x:c>
      <x:c r="L43" s="14" t="str"/>
      <x:c r="M43" s="14" t="str"/>
      <x:c r="N43" s="14" t="str"/>
    </x:row>
    <x:row r="44">
      <x:c r="A44" s="14" t="str">
        <x:v>EX-043</x:v>
      </x:c>
      <x:c r="B44" s="14" t="str">
        <x:v>Home Page</x:v>
      </x:c>
      <x:c r="C44" s="14" t="str">
        <x:v>/</x:v>
      </x:c>
      <x:c r="D44" s="14" t="str">
        <x:v>Trang chủ load ổn</x:v>
      </x:c>
      <x:c r="E44" s="14" t="str">
        <x:v>Mở `/`</x:v>
      </x:c>
      <x:c r="F44" s="14" t="str">
        <x:v>Quan sát toàn trang</x:v>
      </x:c>
      <x:c r="G44" s="14" t="str">
        <x:v>Không trắng trang, không lỗi console nghiêm trọng</x:v>
      </x:c>
      <x:c r="H44" s="14" t="str">
        <x:v>P0 Critical</x:v>
      </x:c>
      <x:c r="I44" s="14" t="str">
        <x:v>Functional</x:v>
      </x:c>
      <x:c r="J44" s="14" t="str"/>
      <x:c r="K44" s="14" t="str">
        <x:v>Not Tested</x:v>
      </x:c>
      <x:c r="L44" s="14" t="str"/>
      <x:c r="M44" s="14" t="str"/>
      <x:c r="N44" s="14" t="str"/>
    </x:row>
    <x:row r="45">
      <x:c r="A45" s="14" t="str">
        <x:v>EX-044</x:v>
      </x:c>
      <x:c r="B45" s="14" t="str">
        <x:v>Home Page</x:v>
      </x:c>
      <x:c r="C45" s="14" t="str">
        <x:v>/</x:v>
      </x:c>
      <x:c r="D45" s="14" t="str">
        <x:v>Hero banner ảnh không méo</x:v>
      </x:c>
      <x:c r="E45" s="14" t="str">
        <x:v>Mở `/`</x:v>
      </x:c>
      <x:c r="F45" s="14" t="str">
        <x:v>Kiểm tra ảnh/banner</x:v>
      </x:c>
      <x:c r="G45" s="14" t="str">
        <x:v>Ảnh rõ, không kéo méo, chữ dễ đọc</x:v>
      </x:c>
      <x:c r="H45" s="14" t="str">
        <x:v>P2 Medium</x:v>
      </x:c>
      <x:c r="I45" s="14" t="str">
        <x:v>UI/UX</x:v>
      </x:c>
      <x:c r="J45" s="14" t="str"/>
      <x:c r="K45" s="14" t="str">
        <x:v>Not Tested</x:v>
      </x:c>
      <x:c r="L45" s="14" t="str"/>
      <x:c r="M45" s="14" t="str"/>
      <x:c r="N45" s="14" t="str"/>
    </x:row>
    <x:row r="46">
      <x:c r="A46" s="14" t="str">
        <x:v>EX-045</x:v>
      </x:c>
      <x:c r="B46" s="14" t="str">
        <x:v>Home Page</x:v>
      </x:c>
      <x:c r="C46" s="14" t="str">
        <x:v>/</x:v>
      </x:c>
      <x:c r="D46" s="14" t="str">
        <x:v>CTA tham gia cộng đồng</x:v>
      </x:c>
      <x:c r="E46" s="14" t="str">
        <x:v>Mở trang chủ</x:v>
      </x:c>
      <x:c r="F46" s="14" t="str">
        <x:v>Bấm nút Tham gia cộng đồng/Đăng bài nếu có</x:v>
      </x:c>
      <x:c r="G46" s="14" t="str">
        <x:v>Đi đúng `/cong-dong` hoặc `/dang-bai` theo label</x:v>
      </x:c>
      <x:c r="H46" s="14" t="str">
        <x:v>P1 High</x:v>
      </x:c>
      <x:c r="I46" s="14" t="str">
        <x:v>Route</x:v>
      </x:c>
      <x:c r="J46" s="14" t="str"/>
      <x:c r="K46" s="14" t="str">
        <x:v>Not Tested</x:v>
      </x:c>
      <x:c r="L46" s="14" t="str"/>
      <x:c r="M46" s="14" t="str"/>
      <x:c r="N46" s="14" t="str"/>
    </x:row>
    <x:row r="47">
      <x:c r="A47" s="14" t="str">
        <x:v>EX-046</x:v>
      </x:c>
      <x:c r="B47" s="14" t="str">
        <x:v>Home Page</x:v>
      </x:c>
      <x:c r="C47" s="14" t="str">
        <x:v>/</x:v>
      </x:c>
      <x:c r="D47" s="14" t="str">
        <x:v>CTA khám phá bài viết</x:v>
      </x:c>
      <x:c r="E47" s="14" t="str">
        <x:v>Mở trang chủ</x:v>
      </x:c>
      <x:c r="F47" s="14" t="str">
        <x:v>Bấm Khám phá bài viết</x:v>
      </x:c>
      <x:c r="G47" s="14" t="str">
        <x:v>Cuộn tới feed hoặc sang danh sách bài đúng</x:v>
      </x:c>
      <x:c r="H47" s="14" t="str">
        <x:v>P1 High</x:v>
      </x:c>
      <x:c r="I47" s="14" t="str">
        <x:v>Functional</x:v>
      </x:c>
      <x:c r="J47" s="14" t="str"/>
      <x:c r="K47" s="14" t="str">
        <x:v>Not Tested</x:v>
      </x:c>
      <x:c r="L47" s="14" t="str"/>
      <x:c r="M47" s="14" t="str"/>
      <x:c r="N47" s="14" t="str"/>
    </x:row>
    <x:row r="48">
      <x:c r="A48" s="14" t="str">
        <x:v>EX-047</x:v>
      </x:c>
      <x:c r="B48" s="14" t="str">
        <x:v>Home Page</x:v>
      </x:c>
      <x:c r="C48" s="14" t="str">
        <x:v>/</x:v>
      </x:c>
      <x:c r="D48" s="14" t="str">
        <x:v>Section bài viết mới</x:v>
      </x:c>
      <x:c r="E48" s="14" t="str">
        <x:v>Mở trang chủ</x:v>
      </x:c>
      <x:c r="F48" s="14" t="str">
        <x:v>Kiểm tra card bài mới</x:v>
      </x:c>
      <x:c r="G48" s="14" t="str">
        <x:v>Card có tiêu đề, mô tả, ảnh, nút xem; dữ liệu không rỗng vô lý</x:v>
      </x:c>
      <x:c r="H48" s="14" t="str">
        <x:v>P1 High</x:v>
      </x:c>
      <x:c r="I48" s="14" t="str">
        <x:v>Functional</x:v>
      </x:c>
      <x:c r="J48" s="14" t="str"/>
      <x:c r="K48" s="14" t="str">
        <x:v>Not Tested</x:v>
      </x:c>
      <x:c r="L48" s="14" t="str"/>
      <x:c r="M48" s="14" t="str"/>
      <x:c r="N48" s="14" t="str"/>
    </x:row>
    <x:row r="49">
      <x:c r="A49" s="14" t="str">
        <x:v>EX-048</x:v>
      </x:c>
      <x:c r="B49" s="14" t="str">
        <x:v>Home Page</x:v>
      </x:c>
      <x:c r="C49" s="14" t="str">
        <x:v>/</x:v>
      </x:c>
      <x:c r="D49" s="14" t="str">
        <x:v>Card bài viết trên Home click được</x:v>
      </x:c>
      <x:c r="E49" s="14" t="str">
        <x:v>Mở trang chủ</x:v>
      </x:c>
      <x:c r="F49" s="14" t="str">
        <x:v>Bấm từng card/nút xem thêm</x:v>
      </x:c>
      <x:c r="G49" s="14" t="str">
        <x:v>Đi tới đúng chi tiết bài</x:v>
      </x:c>
      <x:c r="H49" s="14" t="str">
        <x:v>P1 High</x:v>
      </x:c>
      <x:c r="I49" s="14" t="str">
        <x:v>Route</x:v>
      </x:c>
      <x:c r="J49" s="14" t="str"/>
      <x:c r="K49" s="14" t="str">
        <x:v>Not Tested</x:v>
      </x:c>
      <x:c r="L49" s="14" t="str"/>
      <x:c r="M49" s="14" t="str"/>
      <x:c r="N49" s="14" t="str"/>
    </x:row>
    <x:row r="50">
      <x:c r="A50" s="14" t="str">
        <x:v>EX-049</x:v>
      </x:c>
      <x:c r="B50" s="14" t="str">
        <x:v>Home Page</x:v>
      </x:c>
      <x:c r="C50" s="14" t="str">
        <x:v>/</x:v>
      </x:c>
      <x:c r="D50" s="14" t="str">
        <x:v>Hoạt động cộng đồng cân layout</x:v>
      </x:c>
      <x:c r="E50" s="14" t="str">
        <x:v>Mở trang chủ</x:v>
      </x:c>
      <x:c r="F50" s="14" t="str">
        <x:v>Quan sát section cộng đồng</x:v>
      </x:c>
      <x:c r="G50" s="14" t="str">
        <x:v>Các card/chữ đều, không lệch quá, không bị cục bên phải dài lệch</x:v>
      </x:c>
      <x:c r="H50" s="14" t="str">
        <x:v>P2 Medium</x:v>
      </x:c>
      <x:c r="I50" s="14" t="str">
        <x:v>UI/UX</x:v>
      </x:c>
      <x:c r="J50" s="14" t="str"/>
      <x:c r="K50" s="14" t="str">
        <x:v>Not Tested</x:v>
      </x:c>
      <x:c r="L50" s="14" t="str"/>
      <x:c r="M50" s="14" t="str"/>
      <x:c r="N50" s="14" t="str"/>
    </x:row>
    <x:row r="51">
      <x:c r="A51" s="14" t="str">
        <x:v>EX-050</x:v>
      </x:c>
      <x:c r="B51" s="14" t="str">
        <x:v>Home Page</x:v>
      </x:c>
      <x:c r="C51" s="14" t="str">
        <x:v>/</x:v>
      </x:c>
      <x:c r="D51" s="14" t="str">
        <x:v>Home text dài</x:v>
      </x:c>
      <x:c r="E51" s="14" t="str">
        <x:v>Có bài title dài</x:v>
      </x:c>
      <x:c r="F51" s="14" t="str">
        <x:v>Quan sát card trên home</x:v>
      </x:c>
      <x:c r="G51" s="14" t="str">
        <x:v>Title được clamp/wrap đẹp, không đẩy vỡ card</x:v>
      </x:c>
      <x:c r="H51" s="14" t="str">
        <x:v>P2 Medium</x:v>
      </x:c>
      <x:c r="I51" s="14" t="str">
        <x:v>UI/UX</x:v>
      </x:c>
      <x:c r="J51" s="14" t="str"/>
      <x:c r="K51" s="14" t="str">
        <x:v>Not Tested</x:v>
      </x:c>
      <x:c r="L51" s="14" t="str"/>
      <x:c r="M51" s="14" t="str"/>
      <x:c r="N51" s="14" t="str"/>
    </x:row>
    <x:row r="52">
      <x:c r="A52" s="14" t="str">
        <x:v>EX-051</x:v>
      </x:c>
      <x:c r="B52" s="14" t="str">
        <x:v>Home Page</x:v>
      </x:c>
      <x:c r="C52" s="14" t="str">
        <x:v>/</x:v>
      </x:c>
      <x:c r="D52" s="14" t="str">
        <x:v>Home empty state</x:v>
      </x:c>
      <x:c r="E52" s="14" t="str">
        <x:v>Không có bài viết hoặc API rỗng</x:v>
      </x:c>
      <x:c r="F52" s="14" t="str">
        <x:v>Load trang chủ</x:v>
      </x:c>
      <x:c r="G52" s="14" t="str">
        <x:v>Có thông báo rỗng đẹp, không crash</x:v>
      </x:c>
      <x:c r="H52" s="14" t="str">
        <x:v>P2 Medium</x:v>
      </x:c>
      <x:c r="I52" s="14" t="str">
        <x:v>Error/Empty State</x:v>
      </x:c>
      <x:c r="J52" s="14" t="str"/>
      <x:c r="K52" s="14" t="str">
        <x:v>Not Tested</x:v>
      </x:c>
      <x:c r="L52" s="14" t="str"/>
      <x:c r="M52" s="14" t="str"/>
      <x:c r="N52" s="14" t="str"/>
    </x:row>
    <x:row r="53">
      <x:c r="A53" s="14" t="str">
        <x:v>EX-052</x:v>
      </x:c>
      <x:c r="B53" s="14" t="str">
        <x:v>Home Page</x:v>
      </x:c>
      <x:c r="C53" s="14" t="str">
        <x:v>/</x:v>
      </x:c>
      <x:c r="D53" s="14" t="str">
        <x:v>Home mobile</x:v>
      </x:c>
      <x:c r="E53" s="14" t="str">
        <x:v>Màn hình 375px</x:v>
      </x:c>
      <x:c r="F53" s="14" t="str">
        <x:v>Cuộn trang chủ</x:v>
      </x:c>
      <x:c r="G53" s="14" t="str">
        <x:v>Không tràn ngang, CTA không quá sát/mất chữ</x:v>
      </x:c>
      <x:c r="H53" s="14" t="str">
        <x:v>P1 High</x:v>
      </x:c>
      <x:c r="I53" s="14" t="str">
        <x:v>Responsive</x:v>
      </x:c>
      <x:c r="J53" s="14" t="str"/>
      <x:c r="K53" s="14" t="str">
        <x:v>Not Tested</x:v>
      </x:c>
      <x:c r="L53" s="14" t="str"/>
      <x:c r="M53" s="14" t="str"/>
      <x:c r="N53" s="14" t="str"/>
    </x:row>
    <x:row r="54">
      <x:c r="A54" s="14" t="str">
        <x:v>EX-053</x:v>
      </x:c>
      <x:c r="B54" s="14" t="str">
        <x:v>Tips Page</x:v>
      </x:c>
      <x:c r="C54" s="14" t="str">
        <x:v>/meo-tiet-kiem</x:v>
      </x:c>
      <x:c r="D54" s="14" t="str">
        <x:v>Mẹo tiết kiệm load</x:v>
      </x:c>
      <x:c r="E54" s="14" t="str">
        <x:v>Mở `/meo-tiet-kiem`</x:v>
      </x:c>
      <x:c r="F54" s="14" t="str">
        <x:v>Quan sát danh sách</x:v>
      </x:c>
      <x:c r="G54" s="14" t="str">
        <x:v>Có dữ liệu hoặc empty state, không crash</x:v>
      </x:c>
      <x:c r="H54" s="14" t="str">
        <x:v>P0 Critical</x:v>
      </x:c>
      <x:c r="I54" s="14" t="str">
        <x:v>Functional</x:v>
      </x:c>
      <x:c r="J54" s="14" t="str"/>
      <x:c r="K54" s="14" t="str">
        <x:v>Not Tested</x:v>
      </x:c>
      <x:c r="L54" s="14" t="str"/>
      <x:c r="M54" s="14" t="str"/>
      <x:c r="N54" s="14" t="str"/>
    </x:row>
    <x:row r="55">
      <x:c r="A55" s="14" t="str">
        <x:v>EX-054</x:v>
      </x:c>
      <x:c r="B55" s="14" t="str">
        <x:v>Tips Page</x:v>
      </x:c>
      <x:c r="C55" s="14" t="str">
        <x:v>/meo-tiet-kiem</x:v>
      </x:c>
      <x:c r="D55" s="14" t="str">
        <x:v>Card mẹo có đủ nội dung</x:v>
      </x:c>
      <x:c r="E55" s="14" t="str">
        <x:v>Ở trang mẹo</x:v>
      </x:c>
      <x:c r="F55" s="14" t="str">
        <x:v>Kiểm tra card</x:v>
      </x:c>
      <x:c r="G55" s="14" t="str">
        <x:v>Có ảnh/tiêu đề/mô tả/category/nút xem nếu thiết kế có</x:v>
      </x:c>
      <x:c r="H55" s="14" t="str">
        <x:v>P2 Medium</x:v>
      </x:c>
      <x:c r="I55" s="14" t="str">
        <x:v>UI/UX</x:v>
      </x:c>
      <x:c r="J55" s="14" t="str"/>
      <x:c r="K55" s="14" t="str">
        <x:v>Not Tested</x:v>
      </x:c>
      <x:c r="L55" s="14" t="str"/>
      <x:c r="M55" s="14" t="str"/>
      <x:c r="N55" s="14" t="str"/>
    </x:row>
    <x:row r="56">
      <x:c r="A56" s="14" t="str">
        <x:v>EX-055</x:v>
      </x:c>
      <x:c r="B56" s="14" t="str">
        <x:v>Tips Page</x:v>
      </x:c>
      <x:c r="C56" s="14" t="str">
        <x:v>/meo-tiet-kiem</x:v>
      </x:c>
      <x:c r="D56" s="14" t="str">
        <x:v>Bấm card mẹo</x:v>
      </x:c>
      <x:c r="E56" s="14" t="str">
        <x:v>Ở trang mẹo</x:v>
      </x:c>
      <x:c r="F56" s="14" t="str">
        <x:v>Bấm 1 card</x:v>
      </x:c>
      <x:c r="G56" s="14" t="str">
        <x:v>Mở đúng chi tiết bài</x:v>
      </x:c>
      <x:c r="H56" s="14" t="str">
        <x:v>P1 High</x:v>
      </x:c>
      <x:c r="I56" s="14" t="str">
        <x:v>Route</x:v>
      </x:c>
      <x:c r="J56" s="14" t="str"/>
      <x:c r="K56" s="14" t="str">
        <x:v>Not Tested</x:v>
      </x:c>
      <x:c r="L56" s="14" t="str"/>
      <x:c r="M56" s="14" t="str"/>
      <x:c r="N56" s="14" t="str"/>
    </x:row>
    <x:row r="57">
      <x:c r="A57" s="14" t="str">
        <x:v>EX-056</x:v>
      </x:c>
      <x:c r="B57" s="14" t="str">
        <x:v>Tips Page</x:v>
      </x:c>
      <x:c r="C57" s="14" t="str">
        <x:v>/meo-tiet-kiem</x:v>
      </x:c>
      <x:c r="D57" s="14" t="str">
        <x:v>Search mẹo có kết quả</x:v>
      </x:c>
      <x:c r="E57" s="14" t="str">
        <x:v>Ở trang mẹo có search</x:v>
      </x:c>
      <x:c r="F57" s="14" t="str">
        <x:v>Nhập từ khóa tồn tại</x:v>
      </x:c>
      <x:c r="G57" s="14" t="str">
        <x:v>Danh sách lọc đúng</x:v>
      </x:c>
      <x:c r="H57" s="14" t="str">
        <x:v>P1 High</x:v>
      </x:c>
      <x:c r="I57" s="14" t="str">
        <x:v>Functional</x:v>
      </x:c>
      <x:c r="J57" s="14" t="str"/>
      <x:c r="K57" s="14" t="str">
        <x:v>Not Tested</x:v>
      </x:c>
      <x:c r="L57" s="14" t="str"/>
      <x:c r="M57" s="14" t="str"/>
      <x:c r="N57" s="14" t="str"/>
    </x:row>
    <x:row r="58">
      <x:c r="A58" s="14" t="str">
        <x:v>EX-057</x:v>
      </x:c>
      <x:c r="B58" s="14" t="str">
        <x:v>Tips Page</x:v>
      </x:c>
      <x:c r="C58" s="14" t="str">
        <x:v>/meo-tiet-kiem</x:v>
      </x:c>
      <x:c r="D58" s="14" t="str">
        <x:v>Search mẹo không kết quả</x:v>
      </x:c>
      <x:c r="E58" s="14" t="str">
        <x:v>Ở trang mẹo</x:v>
      </x:c>
      <x:c r="F58" s="14" t="str">
        <x:v>Nhập chuỗi lạ</x:v>
      </x:c>
      <x:c r="G58" s="14" t="str">
        <x:v>Hiện không tìm thấy, không giữ list cũ gây hiểu nhầm</x:v>
      </x:c>
      <x:c r="H58" s="14" t="str">
        <x:v>P2 Medium</x:v>
      </x:c>
      <x:c r="I58" s="14" t="str">
        <x:v>Functional</x:v>
      </x:c>
      <x:c r="J58" s="14" t="str"/>
      <x:c r="K58" s="14" t="str">
        <x:v>Not Tested</x:v>
      </x:c>
      <x:c r="L58" s="14" t="str"/>
      <x:c r="M58" s="14" t="str"/>
      <x:c r="N58" s="14" t="str"/>
    </x:row>
    <x:row r="59">
      <x:c r="A59" s="14" t="str">
        <x:v>EX-058</x:v>
      </x:c>
      <x:c r="B59" s="14" t="str">
        <x:v>Tips Page</x:v>
      </x:c>
      <x:c r="C59" s="14" t="str">
        <x:v>/meo-tiet-kiem</x:v>
      </x:c>
      <x:c r="D59" s="14" t="str">
        <x:v>Search clear</x:v>
      </x:c>
      <x:c r="E59" s="14" t="str">
        <x:v>Sau khi search</x:v>
      </x:c>
      <x:c r="F59" s="14" t="str">
        <x:v>Xóa từ khóa</x:v>
      </x:c>
      <x:c r="G59" s="14" t="str">
        <x:v>Danh sách quay về ban đầu</x:v>
      </x:c>
      <x:c r="H59" s="14" t="str">
        <x:v>P2 Medium</x:v>
      </x:c>
      <x:c r="I59" s="14" t="str">
        <x:v>Functional</x:v>
      </x:c>
      <x:c r="J59" s="14" t="str"/>
      <x:c r="K59" s="14" t="str">
        <x:v>Not Tested</x:v>
      </x:c>
      <x:c r="L59" s="14" t="str"/>
      <x:c r="M59" s="14" t="str"/>
      <x:c r="N59" s="14" t="str"/>
    </x:row>
    <x:row r="60">
      <x:c r="A60" s="14" t="str">
        <x:v>EX-059</x:v>
      </x:c>
      <x:c r="B60" s="14" t="str">
        <x:v>Tips Page</x:v>
      </x:c>
      <x:c r="C60" s="14" t="str">
        <x:v>/meo-tiet-kiem</x:v>
      </x:c>
      <x:c r="D60" s="14" t="str">
        <x:v>Lọc/chủ đề nếu có</x:v>
      </x:c>
      <x:c r="E60" s="14" t="str">
        <x:v>Ở trang mẹo</x:v>
      </x:c>
      <x:c r="F60" s="14" t="str">
        <x:v>Bấm filter/chủ đề</x:v>
      </x:c>
      <x:c r="G60" s="14" t="str">
        <x:v>Dữ liệu lọc đúng; nếu chưa làm thì ẩn filter giả</x:v>
      </x:c>
      <x:c r="H60" s="14" t="str">
        <x:v>P1 High</x:v>
      </x:c>
      <x:c r="I60" s="14" t="str">
        <x:v>Scope Check</x:v>
      </x:c>
      <x:c r="J60" s="14" t="str"/>
      <x:c r="K60" s="14" t="str">
        <x:v>Not Tested</x:v>
      </x:c>
      <x:c r="L60" s="14" t="str"/>
      <x:c r="M60" s="14" t="str"/>
      <x:c r="N60" s="14" t="str"/>
    </x:row>
    <x:row r="61">
      <x:c r="A61" s="14" t="str">
        <x:v>EX-060</x:v>
      </x:c>
      <x:c r="B61" s="14" t="str">
        <x:v>Tips Page</x:v>
      </x:c>
      <x:c r="C61" s="14" t="str">
        <x:v>/meo-tiet-kiem</x:v>
      </x:c>
      <x:c r="D61" s="14" t="str">
        <x:v>Sort mới/cũ nếu có</x:v>
      </x:c>
      <x:c r="E61" s="14" t="str">
        <x:v>Ở trang mẹo</x:v>
      </x:c>
      <x:c r="F61" s="14" t="str">
        <x:v>Bấm sort</x:v>
      </x:c>
      <x:c r="G61" s="14" t="str">
        <x:v>Thứ tự thay đổi đúng</x:v>
      </x:c>
      <x:c r="H61" s="14" t="str">
        <x:v>P2 Medium</x:v>
      </x:c>
      <x:c r="I61" s="14" t="str">
        <x:v>Functional</x:v>
      </x:c>
      <x:c r="J61" s="14" t="str"/>
      <x:c r="K61" s="14" t="str">
        <x:v>Not Tested</x:v>
      </x:c>
      <x:c r="L61" s="14" t="str"/>
      <x:c r="M61" s="14" t="str"/>
      <x:c r="N61" s="14" t="str"/>
    </x:row>
    <x:row r="62">
      <x:c r="A62" s="14" t="str">
        <x:v>EX-061</x:v>
      </x:c>
      <x:c r="B62" s="14" t="str">
        <x:v>Tips Page</x:v>
      </x:c>
      <x:c r="C62" s="14" t="str">
        <x:v>/meo-tiet-kiem</x:v>
      </x:c>
      <x:c r="D62" s="14" t="str">
        <x:v>Mẹo không lẫn bài cộng đồng sai</x:v>
      </x:c>
      <x:c r="E62" s="14" t="str">
        <x:v>Có bài cộng đồng và bài mẹo</x:v>
      </x:c>
      <x:c r="F62" s="14" t="str">
        <x:v>So danh sách mẹo</x:v>
      </x:c>
      <x:c r="G62" s="14" t="str">
        <x:v>Chỉ hiện bài loại mẹo hoặc đúng rule hiển thị</x:v>
      </x:c>
      <x:c r="H62" s="14" t="str">
        <x:v>P1 High</x:v>
      </x:c>
      <x:c r="I62" s="14" t="str">
        <x:v>Data Accuracy</x:v>
      </x:c>
      <x:c r="J62" s="14" t="str"/>
      <x:c r="K62" s="14" t="str">
        <x:v>Not Tested</x:v>
      </x:c>
      <x:c r="L62" s="14" t="str"/>
      <x:c r="M62" s="14" t="str"/>
      <x:c r="N62" s="14" t="str"/>
    </x:row>
    <x:row r="63">
      <x:c r="A63" s="14" t="str">
        <x:v>EX-062</x:v>
      </x:c>
      <x:c r="B63" s="14" t="str">
        <x:v>Tips Page</x:v>
      </x:c>
      <x:c r="C63" s="14" t="str">
        <x:v>/meo-tiet-kiem</x:v>
      </x:c>
      <x:c r="D63" s="14" t="str">
        <x:v>Mẹo mobile</x:v>
      </x:c>
      <x:c r="E63" s="14" t="str">
        <x:v>Màn hình 375px</x:v>
      </x:c>
      <x:c r="F63" s="14" t="str">
        <x:v>Cuộn danh sách mẹo</x:v>
      </x:c>
      <x:c r="G63" s="14" t="str">
        <x:v>Grid/card không tràn ngang</x:v>
      </x:c>
      <x:c r="H63" s="14" t="str">
        <x:v>P1 High</x:v>
      </x:c>
      <x:c r="I63" s="14" t="str">
        <x:v>Responsive</x:v>
      </x:c>
      <x:c r="J63" s="14" t="str"/>
      <x:c r="K63" s="14" t="str">
        <x:v>Not Tested</x:v>
      </x:c>
      <x:c r="L63" s="14" t="str"/>
      <x:c r="M63" s="14" t="str"/>
      <x:c r="N63" s="14" t="str"/>
    </x:row>
    <x:row r="64">
      <x:c r="A64" s="14" t="str">
        <x:v>EX-063</x:v>
      </x:c>
      <x:c r="B64" s="14" t="str">
        <x:v>Community Page</x:v>
      </x:c>
      <x:c r="C64" s="14" t="str">
        <x:v>/cong-dong</x:v>
      </x:c>
      <x:c r="D64" s="14" t="str">
        <x:v>Cộng đồng load</x:v>
      </x:c>
      <x:c r="E64" s="14" t="str">
        <x:v>Mở `/cong-dong`</x:v>
      </x:c>
      <x:c r="F64" s="14" t="str">
        <x:v>Quan sát trang</x:v>
      </x:c>
      <x:c r="G64" s="14" t="str">
        <x:v>Có heading Cộng đồng E-XANH/không gian chia sẻ sống xanh, không crash</x:v>
      </x:c>
      <x:c r="H64" s="14" t="str">
        <x:v>P0 Critical</x:v>
      </x:c>
      <x:c r="I64" s="14" t="str">
        <x:v>Functional</x:v>
      </x:c>
      <x:c r="J64" s="14" t="str"/>
      <x:c r="K64" s="14" t="str">
        <x:v>Not Tested</x:v>
      </x:c>
      <x:c r="L64" s="14" t="str"/>
      <x:c r="M64" s="14" t="str"/>
      <x:c r="N64" s="14" t="str"/>
    </x:row>
    <x:row r="65">
      <x:c r="A65" s="14" t="str">
        <x:v>EX-064</x:v>
      </x:c>
      <x:c r="B65" s="14" t="str">
        <x:v>Community Page</x:v>
      </x:c>
      <x:c r="C65" s="14" t="str">
        <x:v>/cong-dong</x:v>
      </x:c>
      <x:c r="D65" s="14" t="str">
        <x:v>Nút Viết bài chia sẻ</x:v>
      </x:c>
      <x:c r="E65" s="14" t="str">
        <x:v>Ở `/cong-dong`</x:v>
      </x:c>
      <x:c r="F65" s="14" t="str">
        <x:v>Bấm Viết bài chia sẻ</x:v>
      </x:c>
      <x:c r="G65" s="14" t="str">
        <x:v>Đi tới `/dang-bai`, không lỗi</x:v>
      </x:c>
      <x:c r="H65" s="14" t="str">
        <x:v>P1 High</x:v>
      </x:c>
      <x:c r="I65" s="14" t="str">
        <x:v>Route</x:v>
      </x:c>
      <x:c r="J65" s="14" t="str"/>
      <x:c r="K65" s="14" t="str">
        <x:v>Not Tested</x:v>
      </x:c>
      <x:c r="L65" s="14" t="str"/>
      <x:c r="M65" s="14" t="str"/>
      <x:c r="N65" s="14" t="str"/>
    </x:row>
    <x:row r="66">
      <x:c r="A66" s="14" t="str">
        <x:v>EX-065</x:v>
      </x:c>
      <x:c r="B66" s="14" t="str">
        <x:v>Community Page</x:v>
      </x:c>
      <x:c r="C66" s="14" t="str">
        <x:v>/cong-dong</x:v>
      </x:c>
      <x:c r="D66" s="14" t="str">
        <x:v>Nút Khám phá bài viết</x:v>
      </x:c>
      <x:c r="E66" s="14" t="str">
        <x:v>Ở `/cong-dong`</x:v>
      </x:c>
      <x:c r="F66" s="14" t="str">
        <x:v>Bấm Khám phá bài viết</x:v>
      </x:c>
      <x:c r="G66" s="14" t="str">
        <x:v>Cuộn tới `#cong-dong-feed` hoặc khu feed</x:v>
      </x:c>
      <x:c r="H66" s="14" t="str">
        <x:v>P2 Medium</x:v>
      </x:c>
      <x:c r="I66" s="14" t="str">
        <x:v>Functional</x:v>
      </x:c>
      <x:c r="J66" s="14" t="str"/>
      <x:c r="K66" s="14" t="str">
        <x:v>Not Tested</x:v>
      </x:c>
      <x:c r="L66" s="14" t="str"/>
      <x:c r="M66" s="14" t="str"/>
      <x:c r="N66" s="14" t="str"/>
    </x:row>
    <x:row r="67">
      <x:c r="A67" s="14" t="str">
        <x:v>EX-066</x:v>
      </x:c>
      <x:c r="B67" s="14" t="str">
        <x:v>Community Page</x:v>
      </x:c>
      <x:c r="C67" s="14" t="str">
        <x:v>/cong-dong</x:v>
      </x:c>
      <x:c r="D67" s="14" t="str">
        <x:v>Input gợi ý chia sẻ</x:v>
      </x:c>
      <x:c r="E67" s="14" t="str">
        <x:v>Ở community</x:v>
      </x:c>
      <x:c r="F67" s="14" t="str">
        <x:v>Bấm vào ô/khối 'Bạn muốn chia sẻ...'</x:v>
      </x:c>
      <x:c r="G67" s="14" t="str">
        <x:v>Đi tới đăng bài hoặc mở form; không được là nút chết</x:v>
      </x:c>
      <x:c r="H67" s="14" t="str">
        <x:v>P1 High</x:v>
      </x:c>
      <x:c r="I67" s="14" t="str">
        <x:v>Functional</x:v>
      </x:c>
      <x:c r="J67" s="14" t="str"/>
      <x:c r="K67" s="14" t="str">
        <x:v>Not Tested</x:v>
      </x:c>
      <x:c r="L67" s="14" t="str"/>
      <x:c r="M67" s="14" t="str"/>
      <x:c r="N67" s="14" t="str"/>
    </x:row>
    <x:row r="68">
      <x:c r="A68" s="14" t="str">
        <x:v>EX-067</x:v>
      </x:c>
      <x:c r="B68" s="14" t="str">
        <x:v>Community Page</x:v>
      </x:c>
      <x:c r="C68" s="14" t="str">
        <x:v>/cong-dong</x:v>
      </x:c>
      <x:c r="D68" s="14" t="str">
        <x:v>Filter Ảnh</x:v>
      </x:c>
      <x:c r="E68" s="14" t="str">
        <x:v>Ở community có filter</x:v>
      </x:c>
      <x:c r="F68" s="14" t="str">
        <x:v>Bấm filter Ảnh</x:v>
      </x:c>
      <x:c r="G68" s="14" t="str">
        <x:v>Lọc bài ảnh đúng hoặc nếu chưa làm thì ẩn/disabled rõ</x:v>
      </x:c>
      <x:c r="H68" s="14" t="str">
        <x:v>P2 Medium</x:v>
      </x:c>
      <x:c r="I68" s="14" t="str">
        <x:v>Scope Check</x:v>
      </x:c>
      <x:c r="J68" s="14" t="str"/>
      <x:c r="K68" s="14" t="str">
        <x:v>Not Tested</x:v>
      </x:c>
      <x:c r="L68" s="14" t="str"/>
      <x:c r="M68" s="14" t="str"/>
      <x:c r="N68" s="14" t="str"/>
    </x:row>
    <x:row r="69">
      <x:c r="A69" s="14" t="str">
        <x:v>EX-068</x:v>
      </x:c>
      <x:c r="B69" s="14" t="str">
        <x:v>Community Page</x:v>
      </x:c>
      <x:c r="C69" s="14" t="str">
        <x:v>/cong-dong</x:v>
      </x:c>
      <x:c r="D69" s="14" t="str">
        <x:v>Filter Chủ đề</x:v>
      </x:c>
      <x:c r="E69" s="14" t="str">
        <x:v>Ở community có filter</x:v>
      </x:c>
      <x:c r="F69" s="14" t="str">
        <x:v>Bấm Chủ đề</x:v>
      </x:c>
      <x:c r="G69" s="14" t="str">
        <x:v>Dropdown/filter hoạt động hoặc có phản hồi rõ</x:v>
      </x:c>
      <x:c r="H69" s="14" t="str">
        <x:v>P2 Medium</x:v>
      </x:c>
      <x:c r="I69" s="14" t="str">
        <x:v>Scope Check</x:v>
      </x:c>
      <x:c r="J69" s="14" t="str"/>
      <x:c r="K69" s="14" t="str">
        <x:v>Not Tested</x:v>
      </x:c>
      <x:c r="L69" s="14" t="str"/>
      <x:c r="M69" s="14" t="str"/>
      <x:c r="N69" s="14" t="str"/>
    </x:row>
    <x:row r="70">
      <x:c r="A70" s="14" t="str">
        <x:v>EX-069</x:v>
      </x:c>
      <x:c r="B70" s="14" t="str">
        <x:v>Community Page</x:v>
      </x:c>
      <x:c r="C70" s="14" t="str">
        <x:v>/cong-dong</x:v>
      </x:c>
      <x:c r="D70" s="14" t="str">
        <x:v>Đăng bài ngay ở sidebar/card</x:v>
      </x:c>
      <x:c r="E70" s="14" t="str">
        <x:v>Ở khu 'Có kinh nghiệm hay?'</x:v>
      </x:c>
      <x:c r="F70" s="14" t="str">
        <x:v>Bấm Đăng bài ngay</x:v>
      </x:c>
      <x:c r="G70" s="14" t="str">
        <x:v>Đi tới `/dang-bai`</x:v>
      </x:c>
      <x:c r="H70" s="14" t="str">
        <x:v>P1 High</x:v>
      </x:c>
      <x:c r="I70" s="14" t="str">
        <x:v>Route</x:v>
      </x:c>
      <x:c r="J70" s="14" t="str"/>
      <x:c r="K70" s="14" t="str">
        <x:v>Not Tested</x:v>
      </x:c>
      <x:c r="L70" s="14" t="str"/>
      <x:c r="M70" s="14" t="str"/>
      <x:c r="N70" s="14" t="str"/>
    </x:row>
    <x:row r="71">
      <x:c r="A71" s="14" t="str">
        <x:v>EX-070</x:v>
      </x:c>
      <x:c r="B71" s="14" t="str">
        <x:v>Community Page</x:v>
      </x:c>
      <x:c r="C71" s="14" t="str">
        <x:v>/cong-dong</x:v>
      </x:c>
      <x:c r="D71" s="14" t="str">
        <x:v>Bài cộng đồng hiển thị đúng</x:v>
      </x:c>
      <x:c r="E71" s="14" t="str">
        <x:v>Có dữ liệu bài cộng đồng</x:v>
      </x:c>
      <x:c r="F71" s="14" t="str">
        <x:v>Quan sát feed</x:v>
      </x:c>
      <x:c r="G71" s="14" t="str">
        <x:v>Bài có avatar/tác giả/thời gian/nội dung tương ứng</x:v>
      </x:c>
      <x:c r="H71" s="14" t="str">
        <x:v>P1 High</x:v>
      </x:c>
      <x:c r="I71" s="14" t="str">
        <x:v>Functional</x:v>
      </x:c>
      <x:c r="J71" s="14" t="str"/>
      <x:c r="K71" s="14" t="str">
        <x:v>Not Tested</x:v>
      </x:c>
      <x:c r="L71" s="14" t="str"/>
      <x:c r="M71" s="14" t="str"/>
      <x:c r="N71" s="14" t="str"/>
    </x:row>
    <x:row r="72">
      <x:c r="A72" s="14" t="str">
        <x:v>EX-071</x:v>
      </x:c>
      <x:c r="B72" s="14" t="str">
        <x:v>Community Page</x:v>
      </x:c>
      <x:c r="C72" s="14" t="str">
        <x:v>/cong-dong</x:v>
      </x:c>
      <x:c r="D72" s="14" t="str">
        <x:v>Bấm bài cộng đồng</x:v>
      </x:c>
      <x:c r="E72" s="14" t="str">
        <x:v>Ở feed cộng đồng</x:v>
      </x:c>
      <x:c r="F72" s="14" t="str">
        <x:v>Bấm bài/card</x:v>
      </x:c>
      <x:c r="G72" s="14" t="str">
        <x:v>Đi tới đúng chi tiết bài</x:v>
      </x:c>
      <x:c r="H72" s="14" t="str">
        <x:v>P1 High</x:v>
      </x:c>
      <x:c r="I72" s="14" t="str">
        <x:v>Route</x:v>
      </x:c>
      <x:c r="J72" s="14" t="str"/>
      <x:c r="K72" s="14" t="str">
        <x:v>Not Tested</x:v>
      </x:c>
      <x:c r="L72" s="14" t="str"/>
      <x:c r="M72" s="14" t="str"/>
      <x:c r="N72" s="14" t="str"/>
    </x:row>
    <x:row r="73">
      <x:c r="A73" s="14" t="str">
        <x:v>EX-072</x:v>
      </x:c>
      <x:c r="B73" s="14" t="str">
        <x:v>Community Page</x:v>
      </x:c>
      <x:c r="C73" s="14" t="str">
        <x:v>/cong-dong</x:v>
      </x:c>
      <x:c r="D73" s="14" t="str">
        <x:v>Không nhảy sang mẹo</x:v>
      </x:c>
      <x:c r="E73" s="14" t="str">
        <x:v>User đăng bài loại cộng đồng</x:v>
      </x:c>
      <x:c r="F73" s="14" t="str">
        <x:v>Sau khi submit kiểm tra nơi hiển thị</x:v>
      </x:c>
      <x:c r="G73" s="14" t="str">
        <x:v>Bài nằm ở cộng đồng, không tự chuyển sang mẹo tiết kiệm</x:v>
      </x:c>
      <x:c r="H73" s="14" t="str">
        <x:v>P0 Critical</x:v>
      </x:c>
      <x:c r="I73" s="14" t="str">
        <x:v>Data Accuracy</x:v>
      </x:c>
      <x:c r="J73" s="14" t="str"/>
      <x:c r="K73" s="14" t="str">
        <x:v>Not Tested</x:v>
      </x:c>
      <x:c r="L73" s="14" t="str"/>
      <x:c r="M73" s="14" t="str"/>
      <x:c r="N73" s="14" t="str"/>
    </x:row>
    <x:row r="74">
      <x:c r="A74" s="14" t="str">
        <x:v>EX-073</x:v>
      </x:c>
      <x:c r="B74" s="14" t="str">
        <x:v>Community Page</x:v>
      </x:c>
      <x:c r="C74" s="14" t="str">
        <x:v>/cong-dong</x:v>
      </x:c>
      <x:c r="D74" s="14" t="str">
        <x:v>Text dài ở community</x:v>
      </x:c>
      <x:c r="E74" s="14" t="str">
        <x:v>Có title/nội dung rất dài</x:v>
      </x:c>
      <x:c r="F74" s="14" t="str">
        <x:v>Quan sát feed</x:v>
      </x:c>
      <x:c r="G74" s="14" t="str">
        <x:v>Không vỡ layout, không tràn container</x:v>
      </x:c>
      <x:c r="H74" s="14" t="str">
        <x:v>P2 Medium</x:v>
      </x:c>
      <x:c r="I74" s="14" t="str">
        <x:v>UI/UX</x:v>
      </x:c>
      <x:c r="J74" s="14" t="str"/>
      <x:c r="K74" s="14" t="str">
        <x:v>Not Tested</x:v>
      </x:c>
      <x:c r="L74" s="14" t="str"/>
      <x:c r="M74" s="14" t="str"/>
      <x:c r="N74" s="14" t="str"/>
    </x:row>
    <x:row r="75">
      <x:c r="A75" s="14" t="str">
        <x:v>EX-074</x:v>
      </x:c>
      <x:c r="B75" s="14" t="str">
        <x:v>Community Page</x:v>
      </x:c>
      <x:c r="C75" s="14" t="str">
        <x:v>/cong-dong</x:v>
      </x:c>
      <x:c r="D75" s="14" t="str">
        <x:v>Community empty state</x:v>
      </x:c>
      <x:c r="E75" s="14" t="str">
        <x:v>Không có bài cộng đồng</x:v>
      </x:c>
      <x:c r="F75" s="14" t="str">
        <x:v>Load trang</x:v>
      </x:c>
      <x:c r="G75" s="14" t="str">
        <x:v>Hiện empty state đẹp + CTA đăng bài</x:v>
      </x:c>
      <x:c r="H75" s="14" t="str">
        <x:v>P2 Medium</x:v>
      </x:c>
      <x:c r="I75" s="14" t="str">
        <x:v>Empty State</x:v>
      </x:c>
      <x:c r="J75" s="14" t="str"/>
      <x:c r="K75" s="14" t="str">
        <x:v>Not Tested</x:v>
      </x:c>
      <x:c r="L75" s="14" t="str"/>
      <x:c r="M75" s="14" t="str"/>
      <x:c r="N75" s="14" t="str"/>
    </x:row>
    <x:row r="76">
      <x:c r="A76" s="14" t="str">
        <x:v>EX-075</x:v>
      </x:c>
      <x:c r="B76" s="14" t="str">
        <x:v>Community Page</x:v>
      </x:c>
      <x:c r="C76" s="14" t="str">
        <x:v>/cong-dong</x:v>
      </x:c>
      <x:c r="D76" s="14" t="str">
        <x:v>Community mobile</x:v>
      </x:c>
      <x:c r="E76" s="14" t="str">
        <x:v>Màn hình 375px</x:v>
      </x:c>
      <x:c r="F76" s="14" t="str">
        <x:v>Cuộn toàn trang</x:v>
      </x:c>
      <x:c r="G76" s="14" t="str">
        <x:v>Không tràn ngang, nút lớn dễ bấm</x:v>
      </x:c>
      <x:c r="H76" s="14" t="str">
        <x:v>P1 High</x:v>
      </x:c>
      <x:c r="I76" s="14" t="str">
        <x:v>Responsive</x:v>
      </x:c>
      <x:c r="J76" s="14" t="str"/>
      <x:c r="K76" s="14" t="str">
        <x:v>Not Tested</x:v>
      </x:c>
      <x:c r="L76" s="14" t="str"/>
      <x:c r="M76" s="14" t="str"/>
      <x:c r="N76" s="14" t="str"/>
    </x:row>
    <x:row r="77">
      <x:c r="A77" s="14" t="str">
        <x:v>EX-076</x:v>
      </x:c>
      <x:c r="B77" s="14" t="str">
        <x:v>Create Post</x:v>
      </x:c>
      <x:c r="C77" s="14" t="str">
        <x:v>/dang-bai</x:v>
      </x:c>
      <x:c r="D77" s="14" t="str">
        <x:v>Guest bấm đăng bài</x:v>
      </x:c>
      <x:c r="E77" s="14" t="str">
        <x:v>Chưa login</x:v>
      </x:c>
      <x:c r="F77" s="14" t="str">
        <x:v>Bấm nút đăng bài từ navbar/community/home</x:v>
      </x:c>
      <x:c r="G77" s="14" t="str">
        <x:v>Chuyển tới đăng nhập hoặc thông báo cần đăng nhập</x:v>
      </x:c>
      <x:c r="H77" s="14" t="str">
        <x:v>P0 Critical</x:v>
      </x:c>
      <x:c r="I77" s="14" t="str">
        <x:v>Permission</x:v>
      </x:c>
      <x:c r="J77" s="14" t="str"/>
      <x:c r="K77" s="14" t="str">
        <x:v>Not Tested</x:v>
      </x:c>
      <x:c r="L77" s="14" t="str"/>
      <x:c r="M77" s="14" t="str"/>
      <x:c r="N77" s="14" t="str"/>
    </x:row>
    <x:row r="78">
      <x:c r="A78" s="14" t="str">
        <x:v>EX-077</x:v>
      </x:c>
      <x:c r="B78" s="14" t="str">
        <x:v>Create Post</x:v>
      </x:c>
      <x:c r="C78" s="14" t="str">
        <x:v>/dang-bai</x:v>
      </x:c>
      <x:c r="D78" s="14" t="str">
        <x:v>User mở trang đăng bài</x:v>
      </x:c>
      <x:c r="E78" s="14" t="str">
        <x:v>Đã login user</x:v>
      </x:c>
      <x:c r="F78" s="14" t="str">
        <x:v>Vào `/dang-bai`</x:v>
      </x:c>
      <x:c r="G78" s="14" t="str">
        <x:v>Trang form load đủ, không trắng</x:v>
      </x:c>
      <x:c r="H78" s="14" t="str">
        <x:v>P0 Critical</x:v>
      </x:c>
      <x:c r="I78" s="14" t="str">
        <x:v>Functional</x:v>
      </x:c>
      <x:c r="J78" s="14" t="str"/>
      <x:c r="K78" s="14" t="str">
        <x:v>Not Tested</x:v>
      </x:c>
      <x:c r="L78" s="14" t="str"/>
      <x:c r="M78" s="14" t="str"/>
      <x:c r="N78" s="14" t="str"/>
    </x:row>
    <x:row r="79">
      <x:c r="A79" s="14" t="str">
        <x:v>EX-078</x:v>
      </x:c>
      <x:c r="B79" s="14" t="str">
        <x:v>Create Post</x:v>
      </x:c>
      <x:c r="C79" s="14" t="str">
        <x:v>/dang-bai</x:v>
      </x:c>
      <x:c r="D79" s="14" t="str">
        <x:v>Form đăng bài không nên chuyển trang khó chịu</x:v>
      </x:c>
      <x:c r="E79" s="14" t="str">
        <x:v>Đang ở `/dang-bai`</x:v>
      </x:c>
      <x:c r="F79" s="14" t="str">
        <x:v>Quan sát trải nghiệm form</x:v>
      </x:c>
      <x:c r="G79" s="14" t="str">
        <x:v>Nếu chuyển hẳn trang gây khó dùng, ghi issue UX: nên modal/giữ context hoặc breadcrumb/quay lại rõ</x:v>
      </x:c>
      <x:c r="H79" s="14" t="str">
        <x:v>P3 Low</x:v>
      </x:c>
      <x:c r="I79" s="14" t="str">
        <x:v>UX Review</x:v>
      </x:c>
      <x:c r="J79" s="14" t="str"/>
      <x:c r="K79" s="14" t="str">
        <x:v>Not Tested</x:v>
      </x:c>
      <x:c r="L79" s="14" t="str"/>
      <x:c r="M79" s="14" t="str"/>
      <x:c r="N79" s="14" t="str"/>
    </x:row>
    <x:row r="80">
      <x:c r="A80" s="14" t="str">
        <x:v>EX-079</x:v>
      </x:c>
      <x:c r="B80" s="14" t="str">
        <x:v>Create Post</x:v>
      </x:c>
      <x:c r="C80" s="14" t="str">
        <x:v>/dang-bai</x:v>
      </x:c>
      <x:c r="D80" s="14" t="str">
        <x:v>Submit form rỗng</x:v>
      </x:c>
      <x:c r="E80" s="14" t="str">
        <x:v>User ở form đăng bài</x:v>
      </x:c>
      <x:c r="F80" s="14" t="str">
        <x:v>Bấm Đăng khi chưa nhập</x:v>
      </x:c>
      <x:c r="G80" s="14" t="str">
        <x:v>Báo lỗi tiêu đề/nội dung/category rõ</x:v>
      </x:c>
      <x:c r="H80" s="14" t="str">
        <x:v>P1 High</x:v>
      </x:c>
      <x:c r="I80" s="14" t="str">
        <x:v>Validation</x:v>
      </x:c>
      <x:c r="J80" s="14" t="str"/>
      <x:c r="K80" s="14" t="str">
        <x:v>Not Tested</x:v>
      </x:c>
      <x:c r="L80" s="14" t="str"/>
      <x:c r="M80" s="14" t="str"/>
      <x:c r="N80" s="14" t="str"/>
    </x:row>
    <x:row r="81">
      <x:c r="A81" s="14" t="str">
        <x:v>EX-080</x:v>
      </x:c>
      <x:c r="B81" s="14" t="str">
        <x:v>Create Post</x:v>
      </x:c>
      <x:c r="C81" s="14" t="str">
        <x:v>/dang-bai</x:v>
      </x:c>
      <x:c r="D81" s="14" t="str">
        <x:v>Thiếu tiêu đề</x:v>
      </x:c>
      <x:c r="E81" s="14" t="str">
        <x:v>User ở form</x:v>
      </x:c>
      <x:c r="F81" s="14" t="str">
        <x:v>Nhập nội dung, bỏ tiêu đề rồi submit</x:v>
      </x:c>
      <x:c r="G81" s="14" t="str">
        <x:v>Báo lỗi tiêu đề</x:v>
      </x:c>
      <x:c r="H81" s="14" t="str">
        <x:v>P1 High</x:v>
      </x:c>
      <x:c r="I81" s="14" t="str">
        <x:v>Validation</x:v>
      </x:c>
      <x:c r="J81" s="14" t="str"/>
      <x:c r="K81" s="14" t="str">
        <x:v>Not Tested</x:v>
      </x:c>
      <x:c r="L81" s="14" t="str"/>
      <x:c r="M81" s="14" t="str"/>
      <x:c r="N81" s="14" t="str"/>
    </x:row>
    <x:row r="82">
      <x:c r="A82" s="14" t="str">
        <x:v>EX-081</x:v>
      </x:c>
      <x:c r="B82" s="14" t="str">
        <x:v>Create Post</x:v>
      </x:c>
      <x:c r="C82" s="14" t="str">
        <x:v>/dang-bai</x:v>
      </x:c>
      <x:c r="D82" s="14" t="str">
        <x:v>Thiếu nội dung</x:v>
      </x:c>
      <x:c r="E82" s="14" t="str">
        <x:v>User ở form</x:v>
      </x:c>
      <x:c r="F82" s="14" t="str">
        <x:v>Nhập tiêu đề, bỏ nội dung rồi submit</x:v>
      </x:c>
      <x:c r="G82" s="14" t="str">
        <x:v>Báo lỗi nội dung</x:v>
      </x:c>
      <x:c r="H82" s="14" t="str">
        <x:v>P1 High</x:v>
      </x:c>
      <x:c r="I82" s="14" t="str">
        <x:v>Validation</x:v>
      </x:c>
      <x:c r="J82" s="14" t="str"/>
      <x:c r="K82" s="14" t="str">
        <x:v>Not Tested</x:v>
      </x:c>
      <x:c r="L82" s="14" t="str"/>
      <x:c r="M82" s="14" t="str"/>
      <x:c r="N82" s="14" t="str"/>
    </x:row>
    <x:row r="83">
      <x:c r="A83" s="14" t="str">
        <x:v>EX-082</x:v>
      </x:c>
      <x:c r="B83" s="14" t="str">
        <x:v>Create Post</x:v>
      </x:c>
      <x:c r="C83" s="14" t="str">
        <x:v>/dang-bai</x:v>
      </x:c>
      <x:c r="D83" s="14" t="str">
        <x:v>Chọn loại bài mẹo</x:v>
      </x:c>
      <x:c r="E83" s="14" t="str">
        <x:v>User ở form</x:v>
      </x:c>
      <x:c r="F83" s="14" t="str">
        <x:v>Chọn loại Mẹo tiết kiệm và submit</x:v>
      </x:c>
      <x:c r="G83" s="14" t="str">
        <x:v>Bài lưu đúng type mẹo</x:v>
      </x:c>
      <x:c r="H83" s="14" t="str">
        <x:v>P0 Critical</x:v>
      </x:c>
      <x:c r="I83" s="14" t="str">
        <x:v>Data Accuracy</x:v>
      </x:c>
      <x:c r="J83" s="14" t="str"/>
      <x:c r="K83" s="14" t="str">
        <x:v>Not Tested</x:v>
      </x:c>
      <x:c r="L83" s="14" t="str"/>
      <x:c r="M83" s="14" t="str"/>
      <x:c r="N83" s="14" t="str"/>
    </x:row>
    <x:row r="84">
      <x:c r="A84" s="14" t="str">
        <x:v>EX-083</x:v>
      </x:c>
      <x:c r="B84" s="14" t="str">
        <x:v>Create Post</x:v>
      </x:c>
      <x:c r="C84" s="14" t="str">
        <x:v>/dang-bai</x:v>
      </x:c>
      <x:c r="D84" s="14" t="str">
        <x:v>Chọn loại bài cộng đồng</x:v>
      </x:c>
      <x:c r="E84" s="14" t="str">
        <x:v>User ở form</x:v>
      </x:c>
      <x:c r="F84" s="14" t="str">
        <x:v>Chọn loại Cộng đồng và submit</x:v>
      </x:c>
      <x:c r="G84" s="14" t="str">
        <x:v>Bài lưu đúng type cộng đồng</x:v>
      </x:c>
      <x:c r="H84" s="14" t="str">
        <x:v>P0 Critical</x:v>
      </x:c>
      <x:c r="I84" s="14" t="str">
        <x:v>Data Accuracy</x:v>
      </x:c>
      <x:c r="J84" s="14" t="str"/>
      <x:c r="K84" s="14" t="str">
        <x:v>Not Tested</x:v>
      </x:c>
      <x:c r="L84" s="14" t="str"/>
      <x:c r="M84" s="14" t="str"/>
      <x:c r="N84" s="14" t="str"/>
    </x:row>
    <x:row r="85">
      <x:c r="A85" s="14" t="str">
        <x:v>EX-084</x:v>
      </x:c>
      <x:c r="B85" s="14" t="str">
        <x:v>Create Post</x:v>
      </x:c>
      <x:c r="C85" s="14" t="str">
        <x:v>/dang-bai</x:v>
      </x:c>
      <x:c r="D85" s="14" t="str">
        <x:v>Không chọn category</x:v>
      </x:c>
      <x:c r="E85" s="14" t="str">
        <x:v>User ở form</x:v>
      </x:c>
      <x:c r="F85" s="14" t="str">
        <x:v>Không chọn loại bài rồi submit</x:v>
      </x:c>
      <x:c r="G85" s="14" t="str">
        <x:v>Báo lỗi hoặc có default rõ ràng</x:v>
      </x:c>
      <x:c r="H85" s="14" t="str">
        <x:v>P1 High</x:v>
      </x:c>
      <x:c r="I85" s="14" t="str">
        <x:v>Validation</x:v>
      </x:c>
      <x:c r="J85" s="14" t="str"/>
      <x:c r="K85" s="14" t="str">
        <x:v>Not Tested</x:v>
      </x:c>
      <x:c r="L85" s="14" t="str"/>
      <x:c r="M85" s="14" t="str"/>
      <x:c r="N85" s="14" t="str"/>
    </x:row>
    <x:row r="86">
      <x:c r="A86" s="14" t="str">
        <x:v>EX-085</x:v>
      </x:c>
      <x:c r="B86" s="14" t="str">
        <x:v>Create Post</x:v>
      </x:c>
      <x:c r="C86" s="14" t="str">
        <x:v>/dang-bai</x:v>
      </x:c>
      <x:c r="D86" s="14" t="str">
        <x:v>Upload ảnh hợp lệ nếu có</x:v>
      </x:c>
      <x:c r="E86" s="14" t="str">
        <x:v>User ở form có upload</x:v>
      </x:c>
      <x:c r="F86" s="14" t="str">
        <x:v>Chọn ảnh jpg/png nhỏ</x:v>
      </x:c>
      <x:c r="G86" s="14" t="str">
        <x:v>Preview/ảnh bài hiển thị đúng</x:v>
      </x:c>
      <x:c r="H86" s="14" t="str">
        <x:v>P2 Medium</x:v>
      </x:c>
      <x:c r="I86" s="14" t="str">
        <x:v>Functional</x:v>
      </x:c>
      <x:c r="J86" s="14" t="str"/>
      <x:c r="K86" s="14" t="str">
        <x:v>Not Tested</x:v>
      </x:c>
      <x:c r="L86" s="14" t="str"/>
      <x:c r="M86" s="14" t="str"/>
      <x:c r="N86" s="14" t="str"/>
    </x:row>
    <x:row r="87">
      <x:c r="A87" s="14" t="str">
        <x:v>EX-086</x:v>
      </x:c>
      <x:c r="B87" s="14" t="str">
        <x:v>Create Post</x:v>
      </x:c>
      <x:c r="C87" s="14" t="str">
        <x:v>/dang-bai</x:v>
      </x:c>
      <x:c r="D87" s="14" t="str">
        <x:v>Upload file không phải ảnh</x:v>
      </x:c>
      <x:c r="E87" s="14" t="str">
        <x:v>User ở form có upload</x:v>
      </x:c>
      <x:c r="F87" s="14" t="str">
        <x:v>Chọn file txt/pdf</x:v>
      </x:c>
      <x:c r="G87" s="14" t="str">
        <x:v>Bị chặn hoặc báo định dạng không hợp lệ</x:v>
      </x:c>
      <x:c r="H87" s="14" t="str">
        <x:v>P2 Medium</x:v>
      </x:c>
      <x:c r="I87" s="14" t="str">
        <x:v>Validation</x:v>
      </x:c>
      <x:c r="J87" s="14" t="str"/>
      <x:c r="K87" s="14" t="str">
        <x:v>Not Tested</x:v>
      </x:c>
      <x:c r="L87" s="14" t="str"/>
      <x:c r="M87" s="14" t="str"/>
      <x:c r="N87" s="14" t="str"/>
    </x:row>
    <x:row r="88">
      <x:c r="A88" s="14" t="str">
        <x:v>EX-087</x:v>
      </x:c>
      <x:c r="B88" s="14" t="str">
        <x:v>Create Post</x:v>
      </x:c>
      <x:c r="C88" s="14" t="str">
        <x:v>/dang-bai</x:v>
      </x:c>
      <x:c r="D88" s="14" t="str">
        <x:v>Ảnh quá lớn nếu có</x:v>
      </x:c>
      <x:c r="E88" s="14" t="str">
        <x:v>User ở form có upload</x:v>
      </x:c>
      <x:c r="F88" s="14" t="str">
        <x:v>Upload ảnh dung lượng lớn</x:v>
      </x:c>
      <x:c r="G88" s="14" t="str">
        <x:v>Có giới hạn hoặc báo lỗi rõ, không treo web</x:v>
      </x:c>
      <x:c r="H88" s="14" t="str">
        <x:v>P2 Medium</x:v>
      </x:c>
      <x:c r="I88" s="14" t="str">
        <x:v>Validation</x:v>
      </x:c>
      <x:c r="J88" s="14" t="str"/>
      <x:c r="K88" s="14" t="str">
        <x:v>Not Tested</x:v>
      </x:c>
      <x:c r="L88" s="14" t="str"/>
      <x:c r="M88" s="14" t="str"/>
      <x:c r="N88" s="14" t="str"/>
    </x:row>
    <x:row r="89">
      <x:c r="A89" s="14" t="str">
        <x:v>EX-088</x:v>
      </x:c>
      <x:c r="B89" s="14" t="str">
        <x:v>Create Post</x:v>
      </x:c>
      <x:c r="C89" s="14" t="str">
        <x:v>/dang-bai</x:v>
      </x:c>
      <x:c r="D89" s="14" t="str">
        <x:v>Nút Hủy/Quay lại</x:v>
      </x:c>
      <x:c r="E89" s="14" t="str">
        <x:v>User ở form</x:v>
      </x:c>
      <x:c r="F89" s="14" t="str">
        <x:v>Bấm Hủy/Quay lại nếu có</x:v>
      </x:c>
      <x:c r="G89" s="14" t="str">
        <x:v>Về trang trước hợp lý, không mất route vô lý</x:v>
      </x:c>
      <x:c r="H89" s="14" t="str">
        <x:v>P2 Medium</x:v>
      </x:c>
      <x:c r="I89" s="14" t="str">
        <x:v>UX</x:v>
      </x:c>
      <x:c r="J89" s="14" t="str"/>
      <x:c r="K89" s="14" t="str">
        <x:v>Not Tested</x:v>
      </x:c>
      <x:c r="L89" s="14" t="str"/>
      <x:c r="M89" s="14" t="str"/>
      <x:c r="N89" s="14" t="str"/>
    </x:row>
    <x:row r="90">
      <x:c r="A90" s="14" t="str">
        <x:v>EX-089</x:v>
      </x:c>
      <x:c r="B90" s="14" t="str">
        <x:v>Create Post</x:v>
      </x:c>
      <x:c r="C90" s="14" t="str">
        <x:v>/dang-bai</x:v>
      </x:c>
      <x:c r="D90" s="14" t="str">
        <x:v>Submit thành công</x:v>
      </x:c>
      <x:c r="E90" s="14" t="str">
        <x:v>Nhập đầy đủ hợp lệ</x:v>
      </x:c>
      <x:c r="F90" s="14" t="str">
        <x:v>Bấm Đăng bài</x:v>
      </x:c>
      <x:c r="G90" s="14" t="str">
        <x:v>Hiện toast/thông báo thành công và điều hướng rõ</x:v>
      </x:c>
      <x:c r="H90" s="14" t="str">
        <x:v>P0 Critical</x:v>
      </x:c>
      <x:c r="I90" s="14" t="str">
        <x:v>Functional</x:v>
      </x:c>
      <x:c r="J90" s="14" t="str"/>
      <x:c r="K90" s="14" t="str">
        <x:v>Not Tested</x:v>
      </x:c>
      <x:c r="L90" s="14" t="str"/>
      <x:c r="M90" s="14" t="str"/>
      <x:c r="N90" s="14" t="str"/>
    </x:row>
    <x:row r="91">
      <x:c r="A91" s="14" t="str">
        <x:v>EX-090</x:v>
      </x:c>
      <x:c r="B91" s="14" t="str">
        <x:v>Create Post</x:v>
      </x:c>
      <x:c r="C91" s="14" t="str">
        <x:v>/dang-bai</x:v>
      </x:c>
      <x:c r="D91" s="14" t="str">
        <x:v>Sau submit không double post</x:v>
      </x:c>
      <x:c r="E91" s="14" t="str">
        <x:v>Form hợp lệ</x:v>
      </x:c>
      <x:c r="F91" s="14" t="str">
        <x:v>Bấm Đăng bài liên tục nhiều lần</x:v>
      </x:c>
      <x:c r="G91" s="14" t="str">
        <x:v>Không tạo trùng bài, nút disabled khi đang gửi</x:v>
      </x:c>
      <x:c r="H91" s="14" t="str">
        <x:v>P0 Critical</x:v>
      </x:c>
      <x:c r="I91" s="14" t="str">
        <x:v>Data Integrity</x:v>
      </x:c>
      <x:c r="J91" s="14" t="str"/>
      <x:c r="K91" s="14" t="str">
        <x:v>Not Tested</x:v>
      </x:c>
      <x:c r="L91" s="14" t="str"/>
      <x:c r="M91" s="14" t="str"/>
      <x:c r="N91" s="14" t="str"/>
    </x:row>
    <x:row r="92">
      <x:c r="A92" s="14" t="str">
        <x:v>EX-091</x:v>
      </x:c>
      <x:c r="B92" s="14" t="str">
        <x:v>Create Post</x:v>
      </x:c>
      <x:c r="C92" s="14" t="str">
        <x:v>/dang-bai</x:v>
      </x:c>
      <x:c r="D92" s="14" t="str">
        <x:v>Loading khi submit</x:v>
      </x:c>
      <x:c r="E92" s="14" t="str">
        <x:v>Mạng chậm</x:v>
      </x:c>
      <x:c r="F92" s="14" t="str">
        <x:v>Bấm Đăng bài</x:v>
      </x:c>
      <x:c r="G92" s="14" t="str">
        <x:v>Có loading/disabled button</x:v>
      </x:c>
      <x:c r="H92" s="14" t="str">
        <x:v>P2 Medium</x:v>
      </x:c>
      <x:c r="I92" s="14" t="str">
        <x:v>UX</x:v>
      </x:c>
      <x:c r="J92" s="14" t="str"/>
      <x:c r="K92" s="14" t="str">
        <x:v>Not Tested</x:v>
      </x:c>
      <x:c r="L92" s="14" t="str"/>
      <x:c r="M92" s="14" t="str"/>
      <x:c r="N92" s="14" t="str"/>
    </x:row>
    <x:row r="93">
      <x:c r="A93" s="14" t="str">
        <x:v>EX-092</x:v>
      </x:c>
      <x:c r="B93" s="14" t="str">
        <x:v>Create Post</x:v>
      </x:c>
      <x:c r="C93" s="14" t="str">
        <x:v>/dang-bai</x:v>
      </x:c>
      <x:c r="D93" s="14" t="str">
        <x:v>Nội dung dài</x:v>
      </x:c>
      <x:c r="E93" s="14" t="str">
        <x:v>User ở form</x:v>
      </x:c>
      <x:c r="F93" s="14" t="str">
        <x:v>Nhập bài dài</x:v>
      </x:c>
      <x:c r="G93" s="14" t="str">
        <x:v>Không crash, textarea phù hợp, giới hạn nếu cần</x:v>
      </x:c>
      <x:c r="H93" s="14" t="str">
        <x:v>P2 Medium</x:v>
      </x:c>
      <x:c r="I93" s="14" t="str">
        <x:v>Validation</x:v>
      </x:c>
      <x:c r="J93" s="14" t="str"/>
      <x:c r="K93" s="14" t="str">
        <x:v>Not Tested</x:v>
      </x:c>
      <x:c r="L93" s="14" t="str"/>
      <x:c r="M93" s="14" t="str"/>
      <x:c r="N93" s="14" t="str"/>
    </x:row>
    <x:row r="94">
      <x:c r="A94" s="14" t="str">
        <x:v>EX-093</x:v>
      </x:c>
      <x:c r="B94" s="14" t="str">
        <x:v>Create Post</x:v>
      </x:c>
      <x:c r="C94" s="14" t="str">
        <x:v>/dang-bai</x:v>
      </x:c>
      <x:c r="D94" s="14" t="str">
        <x:v>XSS cơ bản</x:v>
      </x:c>
      <x:c r="E94" s="14" t="str">
        <x:v>User ở form</x:v>
      </x:c>
      <x:c r="F94" s="14" t="str">
        <x:v>Nhập `&lt;script&gt;alert(1)&lt;/script&gt;`</x:v>
      </x:c>
      <x:c r="G94" s="14" t="str">
        <x:v>Không thực thi script khi hiển thị bài</x:v>
      </x:c>
      <x:c r="H94" s="14" t="str">
        <x:v>P0 Critical</x:v>
      </x:c>
      <x:c r="I94" s="14" t="str">
        <x:v>Security</x:v>
      </x:c>
      <x:c r="J94" s="14" t="str"/>
      <x:c r="K94" s="14" t="str">
        <x:v>Not Tested</x:v>
      </x:c>
      <x:c r="L94" s="14" t="str"/>
      <x:c r="M94" s="14" t="str"/>
      <x:c r="N94" s="14" t="str"/>
    </x:row>
    <x:row r="95">
      <x:c r="A95" s="14" t="str">
        <x:v>EX-094</x:v>
      </x:c>
      <x:c r="B95" s="14" t="str">
        <x:v>Create Post</x:v>
      </x:c>
      <x:c r="C95" s="14" t="str">
        <x:v>/dang-bai</x:v>
      </x:c>
      <x:c r="D95" s="14" t="str">
        <x:v>Form mobile</x:v>
      </x:c>
      <x:c r="E95" s="14" t="str">
        <x:v>Màn hình 375px</x:v>
      </x:c>
      <x:c r="F95" s="14" t="str">
        <x:v>Điền và submit form</x:v>
      </x:c>
      <x:c r="G95" s="14" t="str">
        <x:v>Input/nút không tràn, dễ nhập</x:v>
      </x:c>
      <x:c r="H95" s="14" t="str">
        <x:v>P1 High</x:v>
      </x:c>
      <x:c r="I95" s="14" t="str">
        <x:v>Responsive</x:v>
      </x:c>
      <x:c r="J95" s="14" t="str"/>
      <x:c r="K95" s="14" t="str">
        <x:v>Not Tested</x:v>
      </x:c>
      <x:c r="L95" s="14" t="str"/>
      <x:c r="M95" s="14" t="str"/>
      <x:c r="N95" s="14" t="str"/>
    </x:row>
    <x:row r="96">
      <x:c r="A96" s="14" t="str">
        <x:v>EX-095</x:v>
      </x:c>
      <x:c r="B96" s="14" t="str">
        <x:v>Post Detail</x:v>
      </x:c>
      <x:c r="C96" s="14" t="str">
        <x:v>/posts/:id or detail route</x:v>
      </x:c>
      <x:c r="D96" s="14" t="str">
        <x:v>Mở chi tiết bài từ card</x:v>
      </x:c>
      <x:c r="E96" s="14" t="str">
        <x:v>Có danh sách bài</x:v>
      </x:c>
      <x:c r="F96" s="14" t="str">
        <x:v>Bấm card/nút xem chi tiết</x:v>
      </x:c>
      <x:c r="G96" s="14" t="str">
        <x:v>Mở đúng bài theo id</x:v>
      </x:c>
      <x:c r="H96" s="14" t="str">
        <x:v>P0 Critical</x:v>
      </x:c>
      <x:c r="I96" s="14" t="str">
        <x:v>Route</x:v>
      </x:c>
      <x:c r="J96" s="14" t="str"/>
      <x:c r="K96" s="14" t="str">
        <x:v>Not Tested</x:v>
      </x:c>
      <x:c r="L96" s="14" t="str"/>
      <x:c r="M96" s="14" t="str"/>
      <x:c r="N96" s="14" t="str"/>
    </x:row>
    <x:row r="97">
      <x:c r="A97" s="14" t="str">
        <x:v>EX-096</x:v>
      </x:c>
      <x:c r="B97" s="14" t="str">
        <x:v>Post Detail</x:v>
      </x:c>
      <x:c r="C97" s="14" t="str">
        <x:v>/posts/:id or detail route</x:v>
      </x:c>
      <x:c r="D97" s="14" t="str">
        <x:v>URL bài không tồn tại</x:v>
      </x:c>
      <x:c r="E97" s="14" t="str">
        <x:v>Gõ id sai</x:v>
      </x:c>
      <x:c r="F97" s="14" t="str">
        <x:v>Vào URL chi tiết id không có</x:v>
      </x:c>
      <x:c r="G97" s="14" t="str">
        <x:v>Hiện Not Found/Không tìm thấy bài</x:v>
      </x:c>
      <x:c r="H97" s="14" t="str">
        <x:v>P1 High</x:v>
      </x:c>
      <x:c r="I97" s="14" t="str">
        <x:v>Error State</x:v>
      </x:c>
      <x:c r="J97" s="14" t="str"/>
      <x:c r="K97" s="14" t="str">
        <x:v>Not Tested</x:v>
      </x:c>
      <x:c r="L97" s="14" t="str"/>
      <x:c r="M97" s="14" t="str"/>
      <x:c r="N97" s="14" t="str"/>
    </x:row>
    <x:row r="98">
      <x:c r="A98" s="14" t="str">
        <x:v>EX-097</x:v>
      </x:c>
      <x:c r="B98" s="14" t="str">
        <x:v>Post Detail</x:v>
      </x:c>
      <x:c r="C98" s="14" t="str">
        <x:v>/posts/:id or detail route</x:v>
      </x:c>
      <x:c r="D98" s="14" t="str">
        <x:v>Nội dung chi tiết đủ</x:v>
      </x:c>
      <x:c r="E98" s="14" t="str">
        <x:v>Mở bài hợp lệ</x:v>
      </x:c>
      <x:c r="F98" s="14" t="str">
        <x:v>Kiểm tra title, tác giả, ngày, nội dung</x:v>
      </x:c>
      <x:c r="G98" s="14" t="str">
        <x:v>Dữ liệu đúng, không thiếu field quan trọng</x:v>
      </x:c>
      <x:c r="H98" s="14" t="str">
        <x:v>P1 High</x:v>
      </x:c>
      <x:c r="I98" s="14" t="str">
        <x:v>Functional</x:v>
      </x:c>
      <x:c r="J98" s="14" t="str"/>
      <x:c r="K98" s="14" t="str">
        <x:v>Not Tested</x:v>
      </x:c>
      <x:c r="L98" s="14" t="str"/>
      <x:c r="M98" s="14" t="str"/>
      <x:c r="N98" s="14" t="str"/>
    </x:row>
    <x:row r="99">
      <x:c r="A99" s="14" t="str">
        <x:v>EX-098</x:v>
      </x:c>
      <x:c r="B99" s="14" t="str">
        <x:v>Post Detail</x:v>
      </x:c>
      <x:c r="C99" s="14" t="str">
        <x:v>/posts/:id or detail route</x:v>
      </x:c>
      <x:c r="D99" s="14" t="str">
        <x:v>Ảnh chi tiết lỗi</x:v>
      </x:c>
      <x:c r="E99" s="14" t="str">
        <x:v>Bài có ảnh hỏng</x:v>
      </x:c>
      <x:c r="F99" s="14" t="str">
        <x:v>Mở chi tiết</x:v>
      </x:c>
      <x:c r="G99" s="14" t="str">
        <x:v>Có fallback, không vỡ trang</x:v>
      </x:c>
      <x:c r="H99" s="14" t="str">
        <x:v>P2 Medium</x:v>
      </x:c>
      <x:c r="I99" s="14" t="str">
        <x:v>UI/UX</x:v>
      </x:c>
      <x:c r="J99" s="14" t="str"/>
      <x:c r="K99" s="14" t="str">
        <x:v>Not Tested</x:v>
      </x:c>
      <x:c r="L99" s="14" t="str"/>
      <x:c r="M99" s="14" t="str"/>
      <x:c r="N99" s="14" t="str"/>
    </x:row>
    <x:row r="100">
      <x:c r="A100" s="14" t="str">
        <x:v>EX-099</x:v>
      </x:c>
      <x:c r="B100" s="14" t="str">
        <x:v>Post Detail</x:v>
      </x:c>
      <x:c r="C100" s="14" t="str">
        <x:v>/posts/:id or detail route</x:v>
      </x:c>
      <x:c r="D100" s="14" t="str">
        <x:v>Nút lưu bài</x:v>
      </x:c>
      <x:c r="E100" s="14" t="str">
        <x:v>User đã login</x:v>
      </x:c>
      <x:c r="F100" s="14" t="str">
        <x:v>Bấm Lưu bài</x:v>
      </x:c>
      <x:c r="G100" s="14" t="str">
        <x:v>Bài được lưu, icon/trạng thái đổi</x:v>
      </x:c>
      <x:c r="H100" s="14" t="str">
        <x:v>P0 Critical</x:v>
      </x:c>
      <x:c r="I100" s="14" t="str">
        <x:v>Functional</x:v>
      </x:c>
      <x:c r="J100" s="14" t="str"/>
      <x:c r="K100" s="14" t="str">
        <x:v>Not Tested</x:v>
      </x:c>
      <x:c r="L100" s="14" t="str"/>
      <x:c r="M100" s="14" t="str"/>
      <x:c r="N100" s="14" t="str"/>
    </x:row>
    <x:row r="101">
      <x:c r="A101" s="14" t="str">
        <x:v>EX-100</x:v>
      </x:c>
      <x:c r="B101" s="14" t="str">
        <x:v>Post Detail</x:v>
      </x:c>
      <x:c r="C101" s="14" t="str">
        <x:v>/posts/:id or detail route</x:v>
      </x:c>
      <x:c r="D101" s="14" t="str">
        <x:v>Bỏ lưu bài</x:v>
      </x:c>
      <x:c r="E101" s="14" t="str">
        <x:v>Bài đã lưu</x:v>
      </x:c>
      <x:c r="F101" s="14" t="str">
        <x:v>Bấm lại nút lưu/bỏ lưu</x:v>
      </x:c>
      <x:c r="G101" s="14" t="str">
        <x:v>Bài bị bỏ lưu, trạng thái đổi đúng</x:v>
      </x:c>
      <x:c r="H101" s="14" t="str">
        <x:v>P0 Critical</x:v>
      </x:c>
      <x:c r="I101" s="14" t="str">
        <x:v>Functional</x:v>
      </x:c>
      <x:c r="J101" s="14" t="str"/>
      <x:c r="K101" s="14" t="str">
        <x:v>Not Tested</x:v>
      </x:c>
      <x:c r="L101" s="14" t="str"/>
      <x:c r="M101" s="14" t="str"/>
      <x:c r="N101" s="14" t="str"/>
    </x:row>
    <x:row r="102">
      <x:c r="A102" s="14" t="str">
        <x:v>EX-101</x:v>
      </x:c>
      <x:c r="B102" s="14" t="str">
        <x:v>Post Detail</x:v>
      </x:c>
      <x:c r="C102" s="14" t="str">
        <x:v>/posts/:id or detail route</x:v>
      </x:c>
      <x:c r="D102" s="14" t="str">
        <x:v>Guest bấm lưu bài</x:v>
      </x:c>
      <x:c r="E102" s="14" t="str">
        <x:v>Chưa login</x:v>
      </x:c>
      <x:c r="F102" s="14" t="str">
        <x:v>Bấm lưu bài</x:v>
      </x:c>
      <x:c r="G102" s="14" t="str">
        <x:v>Yêu cầu đăng nhập, không crash</x:v>
      </x:c>
      <x:c r="H102" s="14" t="str">
        <x:v>P1 High</x:v>
      </x:c>
      <x:c r="I102" s="14" t="str">
        <x:v>Permission</x:v>
      </x:c>
      <x:c r="J102" s="14" t="str"/>
      <x:c r="K102" s="14" t="str">
        <x:v>Not Tested</x:v>
      </x:c>
      <x:c r="L102" s="14" t="str"/>
      <x:c r="M102" s="14" t="str"/>
      <x:c r="N102" s="14" t="str"/>
    </x:row>
    <x:row r="103">
      <x:c r="A103" s="14" t="str">
        <x:v>EX-102</x:v>
      </x:c>
      <x:c r="B103" s="14" t="str">
        <x:v>Post Detail</x:v>
      </x:c>
      <x:c r="C103" s="14" t="str">
        <x:v>/posts/:id or detail route</x:v>
      </x:c>
      <x:c r="D103" s="14" t="str">
        <x:v>Nút like nếu có</x:v>
      </x:c>
      <x:c r="E103" s="14" t="str">
        <x:v>User đã login</x:v>
      </x:c>
      <x:c r="F103" s="14" t="str">
        <x:v>Bấm like</x:v>
      </x:c>
      <x:c r="G103" s="14" t="str">
        <x:v>Số like/trạng thái đổi đúng, không tăng ảo khi double click</x:v>
      </x:c>
      <x:c r="H103" s="14" t="str">
        <x:v>P2 Medium</x:v>
      </x:c>
      <x:c r="I103" s="14" t="str">
        <x:v>Functional</x:v>
      </x:c>
      <x:c r="J103" s="14" t="str"/>
      <x:c r="K103" s="14" t="str">
        <x:v>Not Tested</x:v>
      </x:c>
      <x:c r="L103" s="14" t="str"/>
      <x:c r="M103" s="14" t="str"/>
      <x:c r="N103" s="14" t="str"/>
    </x:row>
    <x:row r="104">
      <x:c r="A104" s="14" t="str">
        <x:v>EX-103</x:v>
      </x:c>
      <x:c r="B104" s="14" t="str">
        <x:v>Post Detail</x:v>
      </x:c>
      <x:c r="C104" s="14" t="str">
        <x:v>/posts/:id or detail route</x:v>
      </x:c>
      <x:c r="D104" s="14" t="str">
        <x:v>Nút share nếu có</x:v>
      </x:c>
      <x:c r="E104" s="14" t="str">
        <x:v>Mở bài</x:v>
      </x:c>
      <x:c r="F104" s="14" t="str">
        <x:v>Bấm chia sẻ/copy link</x:v>
      </x:c>
      <x:c r="G104" s="14" t="str">
        <x:v>Copy/open share đúng hoặc có thông báo chưa hỗ trợ</x:v>
      </x:c>
      <x:c r="H104" s="14" t="str">
        <x:v>P2 Medium</x:v>
      </x:c>
      <x:c r="I104" s="14" t="str">
        <x:v>Functional</x:v>
      </x:c>
      <x:c r="J104" s="14" t="str"/>
      <x:c r="K104" s="14" t="str">
        <x:v>Not Tested</x:v>
      </x:c>
      <x:c r="L104" s="14" t="str"/>
      <x:c r="M104" s="14" t="str"/>
      <x:c r="N104" s="14" t="str"/>
    </x:row>
    <x:row r="105">
      <x:c r="A105" s="14" t="str">
        <x:v>EX-104</x:v>
      </x:c>
      <x:c r="B105" s="14" t="str">
        <x:v>Post Detail</x:v>
      </x:c>
      <x:c r="C105" s="14" t="str">
        <x:v>/posts/:id or detail route</x:v>
      </x:c>
      <x:c r="D105" s="14" t="str">
        <x:v>Nút quay lại</x:v>
      </x:c>
      <x:c r="E105" s="14" t="str">
        <x:v>Mở chi tiết từ danh sách</x:v>
      </x:c>
      <x:c r="F105" s="14" t="str">
        <x:v>Bấm quay lại</x:v>
      </x:c>
      <x:c r="G105" s="14" t="str">
        <x:v>Về đúng trang trước hoặc danh sách phù hợp</x:v>
      </x:c>
      <x:c r="H105" s="14" t="str">
        <x:v>P2 Medium</x:v>
      </x:c>
      <x:c r="I105" s="14" t="str">
        <x:v>UX</x:v>
      </x:c>
      <x:c r="J105" s="14" t="str"/>
      <x:c r="K105" s="14" t="str">
        <x:v>Not Tested</x:v>
      </x:c>
      <x:c r="L105" s="14" t="str"/>
      <x:c r="M105" s="14" t="str"/>
      <x:c r="N105" s="14" t="str"/>
    </x:row>
    <x:row r="106">
      <x:c r="A106" s="14" t="str">
        <x:v>EX-105</x:v>
      </x:c>
      <x:c r="B106" s="14" t="str">
        <x:v>Post Detail</x:v>
      </x:c>
      <x:c r="C106" s="14" t="str">
        <x:v>/posts/:id or detail route</x:v>
      </x:c>
      <x:c r="D106" s="14" t="str">
        <x:v>Chi tiết mobile</x:v>
      </x:c>
      <x:c r="E106" s="14" t="str">
        <x:v>Màn hình 375px</x:v>
      </x:c>
      <x:c r="F106" s="14" t="str">
        <x:v>Cuộn bài dài</x:v>
      </x:c>
      <x:c r="G106" s="14" t="str">
        <x:v>Nội dung đọc được, ảnh không tràn ngang</x:v>
      </x:c>
      <x:c r="H106" s="14" t="str">
        <x:v>P1 High</x:v>
      </x:c>
      <x:c r="I106" s="14" t="str">
        <x:v>Responsive</x:v>
      </x:c>
      <x:c r="J106" s="14" t="str"/>
      <x:c r="K106" s="14" t="str">
        <x:v>Not Tested</x:v>
      </x:c>
      <x:c r="L106" s="14" t="str"/>
      <x:c r="M106" s="14" t="str"/>
      <x:c r="N106" s="14" t="str"/>
    </x:row>
    <x:row r="107">
      <x:c r="A107" s="14" t="str">
        <x:v>EX-106</x:v>
      </x:c>
      <x:c r="B107" s="14" t="str">
        <x:v>Saved Posts</x:v>
      </x:c>
      <x:c r="C107" s="14" t="str">
        <x:v>/bai-da-luu</x:v>
      </x:c>
      <x:c r="D107" s="14" t="str">
        <x:v>Guest mở bài đã lưu</x:v>
      </x:c>
      <x:c r="E107" s="14" t="str">
        <x:v>Chưa login</x:v>
      </x:c>
      <x:c r="F107" s="14" t="str">
        <x:v>Vào `/bai-da-luu`</x:v>
      </x:c>
      <x:c r="G107" s="14" t="str">
        <x:v>Bị yêu cầu đăng nhập</x:v>
      </x:c>
      <x:c r="H107" s="14" t="str">
        <x:v>P0 Critical</x:v>
      </x:c>
      <x:c r="I107" s="14" t="str">
        <x:v>Permission</x:v>
      </x:c>
      <x:c r="J107" s="14" t="str"/>
      <x:c r="K107" s="14" t="str">
        <x:v>Not Tested</x:v>
      </x:c>
      <x:c r="L107" s="14" t="str"/>
      <x:c r="M107" s="14" t="str"/>
      <x:c r="N107" s="14" t="str"/>
    </x:row>
    <x:row r="108">
      <x:c r="A108" s="14" t="str">
        <x:v>EX-107</x:v>
      </x:c>
      <x:c r="B108" s="14" t="str">
        <x:v>Saved Posts</x:v>
      </x:c>
      <x:c r="C108" s="14" t="str">
        <x:v>/bai-da-luu</x:v>
      </x:c>
      <x:c r="D108" s="14" t="str">
        <x:v>User chưa lưu bài</x:v>
      </x:c>
      <x:c r="E108" s="14" t="str">
        <x:v>Login user mới</x:v>
      </x:c>
      <x:c r="F108" s="14" t="str">
        <x:v>Vào `/bai-da-luu`</x:v>
      </x:c>
      <x:c r="G108" s="14" t="str">
        <x:v>Hiện empty state đẹp, không trắng trang</x:v>
      </x:c>
      <x:c r="H108" s="14" t="str">
        <x:v>P1 High</x:v>
      </x:c>
      <x:c r="I108" s="14" t="str">
        <x:v>Empty State</x:v>
      </x:c>
      <x:c r="J108" s="14" t="str"/>
      <x:c r="K108" s="14" t="str">
        <x:v>Not Tested</x:v>
      </x:c>
      <x:c r="L108" s="14" t="str"/>
      <x:c r="M108" s="14" t="str"/>
      <x:c r="N108" s="14" t="str"/>
    </x:row>
    <x:row r="109">
      <x:c r="A109" s="14" t="str">
        <x:v>EX-108</x:v>
      </x:c>
      <x:c r="B109" s="14" t="str">
        <x:v>Saved Posts</x:v>
      </x:c>
      <x:c r="C109" s="14" t="str">
        <x:v>/bai-da-luu</x:v>
      </x:c>
      <x:c r="D109" s="14" t="str">
        <x:v>Lưu 1 bài</x:v>
      </x:c>
      <x:c r="E109" s="14" t="str">
        <x:v>User login</x:v>
      </x:c>
      <x:c r="F109" s="14" t="str">
        <x:v>Vào chi tiết, bấm lưu, rồi vào `/bai-da-luu`</x:v>
      </x:c>
      <x:c r="G109" s="14" t="str">
        <x:v>Bài xuất hiện</x:v>
      </x:c>
      <x:c r="H109" s="14" t="str">
        <x:v>P0 Critical</x:v>
      </x:c>
      <x:c r="I109" s="14" t="str">
        <x:v>Functional</x:v>
      </x:c>
      <x:c r="J109" s="14" t="str"/>
      <x:c r="K109" s="14" t="str">
        <x:v>Not Tested</x:v>
      </x:c>
      <x:c r="L109" s="14" t="str"/>
      <x:c r="M109" s="14" t="str"/>
      <x:c r="N109" s="14" t="str"/>
    </x:row>
    <x:row r="110">
      <x:c r="A110" s="14" t="str">
        <x:v>EX-109</x:v>
      </x:c>
      <x:c r="B110" s="14" t="str">
        <x:v>Saved Posts</x:v>
      </x:c>
      <x:c r="C110" s="14" t="str">
        <x:v>/bai-da-luu</x:v>
      </x:c>
      <x:c r="D110" s="14" t="str">
        <x:v>Lưu nhiều bài</x:v>
      </x:c>
      <x:c r="E110" s="14" t="str">
        <x:v>User login</x:v>
      </x:c>
      <x:c r="F110" s="14" t="str">
        <x:v>Lưu 3 bài khác nhau</x:v>
      </x:c>
      <x:c r="G110" s="14" t="str">
        <x:v>Hiện đủ 3 bài, không mất</x:v>
      </x:c>
      <x:c r="H110" s="14" t="str">
        <x:v>P1 High</x:v>
      </x:c>
      <x:c r="I110" s="14" t="str">
        <x:v>Functional</x:v>
      </x:c>
      <x:c r="J110" s="14" t="str"/>
      <x:c r="K110" s="14" t="str">
        <x:v>Not Tested</x:v>
      </x:c>
      <x:c r="L110" s="14" t="str"/>
      <x:c r="M110" s="14" t="str"/>
      <x:c r="N110" s="14" t="str"/>
    </x:row>
    <x:row r="111">
      <x:c r="A111" s="14" t="str">
        <x:v>EX-110</x:v>
      </x:c>
      <x:c r="B111" s="14" t="str">
        <x:v>Saved Posts</x:v>
      </x:c>
      <x:c r="C111" s="14" t="str">
        <x:v>/bai-da-luu</x:v>
      </x:c>
      <x:c r="D111" s="14" t="str">
        <x:v>Không lưu trùng</x:v>
      </x:c>
      <x:c r="E111" s="14" t="str">
        <x:v>Bài đã lưu</x:v>
      </x:c>
      <x:c r="F111" s="14" t="str">
        <x:v>Bấm lưu nhiều lần/reload/bấm lại</x:v>
      </x:c>
      <x:c r="G111" s="14" t="str">
        <x:v>Không xuất hiện duplicate trong danh sách</x:v>
      </x:c>
      <x:c r="H111" s="14" t="str">
        <x:v>P0 Critical</x:v>
      </x:c>
      <x:c r="I111" s="14" t="str">
        <x:v>Data Integrity</x:v>
      </x:c>
      <x:c r="J111" s="14" t="str"/>
      <x:c r="K111" s="14" t="str">
        <x:v>Not Tested</x:v>
      </x:c>
      <x:c r="L111" s="14" t="str"/>
      <x:c r="M111" s="14" t="str"/>
      <x:c r="N111" s="14" t="str"/>
    </x:row>
    <x:row r="112">
      <x:c r="A112" s="14" t="str">
        <x:v>EX-111</x:v>
      </x:c>
      <x:c r="B112" s="14" t="str">
        <x:v>Saved Posts</x:v>
      </x:c>
      <x:c r="C112" s="14" t="str">
        <x:v>/bai-da-luu</x:v>
      </x:c>
      <x:c r="D112" s="14" t="str">
        <x:v>Bỏ lưu từ trang saved</x:v>
      </x:c>
      <x:c r="E112" s="14" t="str">
        <x:v>Ở `/bai-da-luu`</x:v>
      </x:c>
      <x:c r="F112" s="14" t="str">
        <x:v>Bấm bỏ lưu/xóa khỏi danh sách</x:v>
      </x:c>
      <x:c r="G112" s="14" t="str">
        <x:v>Bài biến mất và trạng thái chi tiết cập nhật</x:v>
      </x:c>
      <x:c r="H112" s="14" t="str">
        <x:v>P1 High</x:v>
      </x:c>
      <x:c r="I112" s="14" t="str">
        <x:v>Functional</x:v>
      </x:c>
      <x:c r="J112" s="14" t="str"/>
      <x:c r="K112" s="14" t="str">
        <x:v>Not Tested</x:v>
      </x:c>
      <x:c r="L112" s="14" t="str"/>
      <x:c r="M112" s="14" t="str"/>
      <x:c r="N112" s="14" t="str"/>
    </x:row>
    <x:row r="113">
      <x:c r="A113" s="14" t="str">
        <x:v>EX-112</x:v>
      </x:c>
      <x:c r="B113" s="14" t="str">
        <x:v>Saved Posts</x:v>
      </x:c>
      <x:c r="C113" s="14" t="str">
        <x:v>/bai-da-luu</x:v>
      </x:c>
      <x:c r="D113" s="14" t="str">
        <x:v>Reload sau lưu</x:v>
      </x:c>
      <x:c r="E113" s="14" t="str">
        <x:v>Đã lưu bài</x:v>
      </x:c>
      <x:c r="F113" s="14" t="str">
        <x:v>F5 `/bai-da-luu`</x:v>
      </x:c>
      <x:c r="G113" s="14" t="str">
        <x:v>Dữ liệu vẫn còn nếu dùng DB/session; không mất bất thường</x:v>
      </x:c>
      <x:c r="H113" s="14" t="str">
        <x:v>P0 Critical</x:v>
      </x:c>
      <x:c r="I113" s="14" t="str">
        <x:v>Data Persistence</x:v>
      </x:c>
      <x:c r="J113" s="14" t="str"/>
      <x:c r="K113" s="14" t="str">
        <x:v>Not Tested</x:v>
      </x:c>
      <x:c r="L113" s="14" t="str"/>
      <x:c r="M113" s="14" t="str"/>
      <x:c r="N113" s="14" t="str"/>
    </x:row>
    <x:row r="114">
      <x:c r="A114" s="14" t="str">
        <x:v>EX-113</x:v>
      </x:c>
      <x:c r="B114" s="14" t="str">
        <x:v>Saved Posts</x:v>
      </x:c>
      <x:c r="C114" s="14" t="str">
        <x:v>/bai-da-luu</x:v>
      </x:c>
      <x:c r="D114" s="14" t="str">
        <x:v>Bấm card trong saved</x:v>
      </x:c>
      <x:c r="E114" s="14" t="str">
        <x:v>Ở `/bai-da-luu`</x:v>
      </x:c>
      <x:c r="F114" s="14" t="str">
        <x:v>Bấm bài đã lưu</x:v>
      </x:c>
      <x:c r="G114" s="14" t="str">
        <x:v>Mở đúng chi tiết bài</x:v>
      </x:c>
      <x:c r="H114" s="14" t="str">
        <x:v>P1 High</x:v>
      </x:c>
      <x:c r="I114" s="14" t="str">
        <x:v>Route</x:v>
      </x:c>
      <x:c r="J114" s="14" t="str"/>
      <x:c r="K114" s="14" t="str">
        <x:v>Not Tested</x:v>
      </x:c>
      <x:c r="L114" s="14" t="str"/>
      <x:c r="M114" s="14" t="str"/>
      <x:c r="N114" s="14" t="str"/>
    </x:row>
    <x:row r="115">
      <x:c r="A115" s="14" t="str">
        <x:v>EX-114</x:v>
      </x:c>
      <x:c r="B115" s="14" t="str">
        <x:v>Saved Posts</x:v>
      </x:c>
      <x:c r="C115" s="14" t="str">
        <x:v>/bai-da-luu</x:v>
      </x:c>
      <x:c r="D115" s="14" t="str">
        <x:v>Saved của user khác</x:v>
      </x:c>
      <x:c r="E115" s="14" t="str">
        <x:v>Có 2 user</x:v>
      </x:c>
      <x:c r="F115" s="14" t="str">
        <x:v>Login user A lưu bài, login user B kiểm tra</x:v>
      </x:c>
      <x:c r="G115" s="14" t="str">
        <x:v>User B không thấy bài lưu của A</x:v>
      </x:c>
      <x:c r="H115" s="14" t="str">
        <x:v>P0 Critical</x:v>
      </x:c>
      <x:c r="I115" s="14" t="str">
        <x:v>Security/Permission</x:v>
      </x:c>
      <x:c r="J115" s="14" t="str"/>
      <x:c r="K115" s="14" t="str">
        <x:v>Not Tested</x:v>
      </x:c>
      <x:c r="L115" s="14" t="str"/>
      <x:c r="M115" s="14" t="str"/>
      <x:c r="N115" s="14" t="str"/>
    </x:row>
    <x:row r="116">
      <x:c r="A116" s="14" t="str">
        <x:v>EX-115</x:v>
      </x:c>
      <x:c r="B116" s="14" t="str">
        <x:v>Saved Posts</x:v>
      </x:c>
      <x:c r="C116" s="14" t="str">
        <x:v>/bai-da-luu</x:v>
      </x:c>
      <x:c r="D116" s="14" t="str">
        <x:v>Saved mobile</x:v>
      </x:c>
      <x:c r="E116" s="14" t="str">
        <x:v>Màn hình 375px</x:v>
      </x:c>
      <x:c r="F116" s="14" t="str">
        <x:v>Cuộn trang bài đã lưu</x:v>
      </x:c>
      <x:c r="G116" s="14" t="str">
        <x:v>Card không tràn ngang</x:v>
      </x:c>
      <x:c r="H116" s="14" t="str">
        <x:v>P1 High</x:v>
      </x:c>
      <x:c r="I116" s="14" t="str">
        <x:v>Responsive</x:v>
      </x:c>
      <x:c r="J116" s="14" t="str"/>
      <x:c r="K116" s="14" t="str">
        <x:v>Not Tested</x:v>
      </x:c>
      <x:c r="L116" s="14" t="str"/>
      <x:c r="M116" s="14" t="str"/>
      <x:c r="N116" s="14" t="str"/>
    </x:row>
    <x:row r="117">
      <x:c r="A117" s="14" t="str">
        <x:v>EX-116</x:v>
      </x:c>
      <x:c r="B117" s="14" t="str">
        <x:v>Comments</x:v>
      </x:c>
      <x:c r="C117" s="14" t="str">
        <x:v>Post Detail / Comments</x:v>
      </x:c>
      <x:c r="D117" s="14" t="str">
        <x:v>Guest gửi bình luận</x:v>
      </x:c>
      <x:c r="E117" s="14" t="str">
        <x:v>Chưa login ở chi tiết bài</x:v>
      </x:c>
      <x:c r="F117" s="14" t="str">
        <x:v>Nhập comment và gửi</x:v>
      </x:c>
      <x:c r="G117" s="14" t="str">
        <x:v>Bị yêu cầu đăng nhập</x:v>
      </x:c>
      <x:c r="H117" s="14" t="str">
        <x:v>P1 High</x:v>
      </x:c>
      <x:c r="I117" s="14" t="str">
        <x:v>Permission</x:v>
      </x:c>
      <x:c r="J117" s="14" t="str"/>
      <x:c r="K117" s="14" t="str">
        <x:v>Not Tested</x:v>
      </x:c>
      <x:c r="L117" s="14" t="str"/>
      <x:c r="M117" s="14" t="str"/>
      <x:c r="N117" s="14" t="str"/>
    </x:row>
    <x:row r="118">
      <x:c r="A118" s="14" t="str">
        <x:v>EX-117</x:v>
      </x:c>
      <x:c r="B118" s="14" t="str">
        <x:v>Comments</x:v>
      </x:c>
      <x:c r="C118" s="14" t="str">
        <x:v>Post Detail / Comments</x:v>
      </x:c>
      <x:c r="D118" s="14" t="str">
        <x:v>Comment rỗng</x:v>
      </x:c>
      <x:c r="E118" s="14" t="str">
        <x:v>User login</x:v>
      </x:c>
      <x:c r="F118" s="14" t="str">
        <x:v>Bấm gửi khi trống</x:v>
      </x:c>
      <x:c r="G118" s="14" t="str">
        <x:v>Báo lỗi, không tạo comment rỗng</x:v>
      </x:c>
      <x:c r="H118" s="14" t="str">
        <x:v>P1 High</x:v>
      </x:c>
      <x:c r="I118" s="14" t="str">
        <x:v>Validation</x:v>
      </x:c>
      <x:c r="J118" s="14" t="str"/>
      <x:c r="K118" s="14" t="str">
        <x:v>Not Tested</x:v>
      </x:c>
      <x:c r="L118" s="14" t="str"/>
      <x:c r="M118" s="14" t="str"/>
      <x:c r="N118" s="14" t="str"/>
    </x:row>
    <x:row r="119">
      <x:c r="A119" s="14" t="str">
        <x:v>EX-118</x:v>
      </x:c>
      <x:c r="B119" s="14" t="str">
        <x:v>Comments</x:v>
      </x:c>
      <x:c r="C119" s="14" t="str">
        <x:v>Post Detail / Comments</x:v>
      </x:c>
      <x:c r="D119" s="14" t="str">
        <x:v>Comment hợp lệ</x:v>
      </x:c>
      <x:c r="E119" s="14" t="str">
        <x:v>User login</x:v>
      </x:c>
      <x:c r="F119" s="14" t="str">
        <x:v>Nhập bình luận và gửi</x:v>
      </x:c>
      <x:c r="G119" s="14" t="str">
        <x:v>Bình luận xuất hiện đúng tên/avatar user</x:v>
      </x:c>
      <x:c r="H119" s="14" t="str">
        <x:v>P1 High</x:v>
      </x:c>
      <x:c r="I119" s="14" t="str">
        <x:v>Functional</x:v>
      </x:c>
      <x:c r="J119" s="14" t="str"/>
      <x:c r="K119" s="14" t="str">
        <x:v>Not Tested</x:v>
      </x:c>
      <x:c r="L119" s="14" t="str"/>
      <x:c r="M119" s="14" t="str"/>
      <x:c r="N119" s="14" t="str"/>
    </x:row>
    <x:row r="120">
      <x:c r="A120" s="14" t="str">
        <x:v>EX-119</x:v>
      </x:c>
      <x:c r="B120" s="14" t="str">
        <x:v>Comments</x:v>
      </x:c>
      <x:c r="C120" s="14" t="str">
        <x:v>Post Detail / Comments</x:v>
      </x:c>
      <x:c r="D120" s="14" t="str">
        <x:v>Reload comment</x:v>
      </x:c>
      <x:c r="E120" s="14" t="str">
        <x:v>Có comment mới</x:v>
      </x:c>
      <x:c r="F120" s="14" t="str">
        <x:v>F5 trang chi tiết</x:v>
      </x:c>
      <x:c r="G120" s="14" t="str">
        <x:v>Comment vẫn còn nếu app hỗ trợ lưu thật</x:v>
      </x:c>
      <x:c r="H120" s="14" t="str">
        <x:v>P1 High</x:v>
      </x:c>
      <x:c r="I120" s="14" t="str">
        <x:v>Data Persistence</x:v>
      </x:c>
      <x:c r="J120" s="14" t="str"/>
      <x:c r="K120" s="14" t="str">
        <x:v>Not Tested</x:v>
      </x:c>
      <x:c r="L120" s="14" t="str"/>
      <x:c r="M120" s="14" t="str"/>
      <x:c r="N120" s="14" t="str"/>
    </x:row>
    <x:row r="121">
      <x:c r="A121" s="14" t="str">
        <x:v>EX-120</x:v>
      </x:c>
      <x:c r="B121" s="14" t="str">
        <x:v>Comments</x:v>
      </x:c>
      <x:c r="C121" s="14" t="str">
        <x:v>Post Detail / Comments</x:v>
      </x:c>
      <x:c r="D121" s="14" t="str">
        <x:v>Comment dài</x:v>
      </x:c>
      <x:c r="E121" s="14" t="str">
        <x:v>User login</x:v>
      </x:c>
      <x:c r="F121" s="14" t="str">
        <x:v>Gửi comment dài</x:v>
      </x:c>
      <x:c r="G121" s="14" t="str">
        <x:v>Không vỡ layout, có clamp/wrap</x:v>
      </x:c>
      <x:c r="H121" s="14" t="str">
        <x:v>P2 Medium</x:v>
      </x:c>
      <x:c r="I121" s="14" t="str">
        <x:v>UI/UX</x:v>
      </x:c>
      <x:c r="J121" s="14" t="str"/>
      <x:c r="K121" s="14" t="str">
        <x:v>Not Tested</x:v>
      </x:c>
      <x:c r="L121" s="14" t="str"/>
      <x:c r="M121" s="14" t="str"/>
      <x:c r="N121" s="14" t="str"/>
    </x:row>
    <x:row r="122">
      <x:c r="A122" s="14" t="str">
        <x:v>EX-121</x:v>
      </x:c>
      <x:c r="B122" s="14" t="str">
        <x:v>Comments</x:v>
      </x:c>
      <x:c r="C122" s="14" t="str">
        <x:v>Post Detail / Comments</x:v>
      </x:c>
      <x:c r="D122" s="14" t="str">
        <x:v>Xóa comment của mình nếu có</x:v>
      </x:c>
      <x:c r="E122" s="14" t="str">
        <x:v>User có comment</x:v>
      </x:c>
      <x:c r="F122" s="14" t="str">
        <x:v>Bấm xóa comment</x:v>
      </x:c>
      <x:c r="G122" s="14" t="str">
        <x:v>Xóa được comment của mình</x:v>
      </x:c>
      <x:c r="H122" s="14" t="str">
        <x:v>P2 Medium</x:v>
      </x:c>
      <x:c r="I122" s="14" t="str">
        <x:v>Functional</x:v>
      </x:c>
      <x:c r="J122" s="14" t="str"/>
      <x:c r="K122" s="14" t="str">
        <x:v>Not Tested</x:v>
      </x:c>
      <x:c r="L122" s="14" t="str"/>
      <x:c r="M122" s="14" t="str"/>
      <x:c r="N122" s="14" t="str"/>
    </x:row>
    <x:row r="123">
      <x:c r="A123" s="14" t="str">
        <x:v>EX-122</x:v>
      </x:c>
      <x:c r="B123" s="14" t="str">
        <x:v>Comments</x:v>
      </x:c>
      <x:c r="C123" s="14" t="str">
        <x:v>Post Detail / Comments</x:v>
      </x:c>
      <x:c r="D123" s="14" t="str">
        <x:v>User không xóa comment người khác</x:v>
      </x:c>
      <x:c r="E123" s="14" t="str">
        <x:v>Có 2 user</x:v>
      </x:c>
      <x:c r="F123" s="14" t="str">
        <x:v>User B thử xóa comment của A</x:v>
      </x:c>
      <x:c r="G123" s="14" t="str">
        <x:v>Không được phép</x:v>
      </x:c>
      <x:c r="H123" s="14" t="str">
        <x:v>P0 Critical</x:v>
      </x:c>
      <x:c r="I123" s="14" t="str">
        <x:v>Security/Permission</x:v>
      </x:c>
      <x:c r="J123" s="14" t="str"/>
      <x:c r="K123" s="14" t="str">
        <x:v>Not Tested</x:v>
      </x:c>
      <x:c r="L123" s="14" t="str"/>
      <x:c r="M123" s="14" t="str"/>
      <x:c r="N123" s="14" t="str"/>
    </x:row>
    <x:row r="124">
      <x:c r="A124" s="14" t="str">
        <x:v>EX-123</x:v>
      </x:c>
      <x:c r="B124" s="14" t="str">
        <x:v>Comments</x:v>
      </x:c>
      <x:c r="C124" s="14" t="str">
        <x:v>Post Detail / Comments</x:v>
      </x:c>
      <x:c r="D124" s="14" t="str">
        <x:v>Admin xóa comment nếu có</x:v>
      </x:c>
      <x:c r="E124" s="14" t="str">
        <x:v>Admin login</x:v>
      </x:c>
      <x:c r="F124" s="14" t="str">
        <x:v>Xóa comment vi phạm</x:v>
      </x:c>
      <x:c r="G124" s="14" t="str">
        <x:v>Xóa thành công và cập nhật UI</x:v>
      </x:c>
      <x:c r="H124" s="14" t="str">
        <x:v>P1 High</x:v>
      </x:c>
      <x:c r="I124" s="14" t="str">
        <x:v>Functional</x:v>
      </x:c>
      <x:c r="J124" s="14" t="str"/>
      <x:c r="K124" s="14" t="str">
        <x:v>Not Tested</x:v>
      </x:c>
      <x:c r="L124" s="14" t="str"/>
      <x:c r="M124" s="14" t="str"/>
      <x:c r="N124" s="14" t="str"/>
    </x:row>
    <x:row r="125">
      <x:c r="A125" s="14" t="str">
        <x:v>EX-124</x:v>
      </x:c>
      <x:c r="B125" s="14" t="str">
        <x:v>Comments</x:v>
      </x:c>
      <x:c r="C125" s="14" t="str">
        <x:v>Post Detail / Comments</x:v>
      </x:c>
      <x:c r="D125" s="14" t="str">
        <x:v>Chống spam comment</x:v>
      </x:c>
      <x:c r="E125" s="14" t="str">
        <x:v>User login</x:v>
      </x:c>
      <x:c r="F125" s="14" t="str">
        <x:v>Bấm gửi comment liên tục</x:v>
      </x:c>
      <x:c r="G125" s="14" t="str">
        <x:v>Không tạo trùng/spam quá nhanh hoặc có loading</x:v>
      </x:c>
      <x:c r="H125" s="14" t="str">
        <x:v>P2 Medium</x:v>
      </x:c>
      <x:c r="I125" s="14" t="str">
        <x:v>Data Integrity</x:v>
      </x:c>
      <x:c r="J125" s="14" t="str"/>
      <x:c r="K125" s="14" t="str">
        <x:v>Not Tested</x:v>
      </x:c>
      <x:c r="L125" s="14" t="str"/>
      <x:c r="M125" s="14" t="str"/>
      <x:c r="N125" s="14" t="str"/>
    </x:row>
    <x:row r="126">
      <x:c r="A126" s="14" t="str">
        <x:v>EX-125</x:v>
      </x:c>
      <x:c r="B126" s="14" t="str">
        <x:v>Comments</x:v>
      </x:c>
      <x:c r="C126" s="14" t="str">
        <x:v>Post Detail / Comments</x:v>
      </x:c>
      <x:c r="D126" s="14" t="str">
        <x:v>Comment XSS</x:v>
      </x:c>
      <x:c r="E126" s="14" t="str">
        <x:v>User login</x:v>
      </x:c>
      <x:c r="F126" s="14" t="str">
        <x:v>Gửi `&lt;img onerror=alert(1)&gt;`</x:v>
      </x:c>
      <x:c r="G126" s="14" t="str">
        <x:v>Không thực thi mã</x:v>
      </x:c>
      <x:c r="H126" s="14" t="str">
        <x:v>P0 Critical</x:v>
      </x:c>
      <x:c r="I126" s="14" t="str">
        <x:v>Security</x:v>
      </x:c>
      <x:c r="J126" s="14" t="str"/>
      <x:c r="K126" s="14" t="str">
        <x:v>Not Tested</x:v>
      </x:c>
      <x:c r="L126" s="14" t="str"/>
      <x:c r="M126" s="14" t="str"/>
      <x:c r="N126" s="14" t="str"/>
    </x:row>
    <x:row r="127">
      <x:c r="A127" s="14" t="str">
        <x:v>EX-126</x:v>
      </x:c>
      <x:c r="B127" s="14" t="str">
        <x:v>Electricity Calculator</x:v>
      </x:c>
      <x:c r="C127" s="14" t="str">
        <x:v>/kiem-tra-tien-dien</x:v>
      </x:c>
      <x:c r="D127" s="14" t="str">
        <x:v>Trang kiểm tra tiền điện load</x:v>
      </x:c>
      <x:c r="E127" s="14" t="str">
        <x:v>Vào `/kiem-tra-tien-dien`</x:v>
      </x:c>
      <x:c r="F127" s="14" t="str">
        <x:v>Quan sát trang</x:v>
      </x:c>
      <x:c r="G127" s="14" t="str">
        <x:v>Nếu route có trong navbar thì phải load; nếu bỏ chức năng thì ẩn menu/route</x:v>
      </x:c>
      <x:c r="H127" s="14" t="str">
        <x:v>P1 High</x:v>
      </x:c>
      <x:c r="I127" s="14" t="str">
        <x:v>Scope Check</x:v>
      </x:c>
      <x:c r="J127" s="14" t="str"/>
      <x:c r="K127" s="14" t="str">
        <x:v>Not Tested</x:v>
      </x:c>
      <x:c r="L127" s="14" t="str"/>
      <x:c r="M127" s="14" t="str"/>
      <x:c r="N127" s="14" t="str"/>
    </x:row>
    <x:row r="128">
      <x:c r="A128" s="14" t="str">
        <x:v>EX-127</x:v>
      </x:c>
      <x:c r="B128" s="14" t="str">
        <x:v>Electricity Calculator</x:v>
      </x:c>
      <x:c r="C128" s="14" t="str">
        <x:v>/kiem-tra-tien-dien</x:v>
      </x:c>
      <x:c r="D128" s="14" t="str">
        <x:v>Input rỗng</x:v>
      </x:c>
      <x:c r="E128" s="14" t="str">
        <x:v>Ở trang kiểm tra tiền điện</x:v>
      </x:c>
      <x:c r="F128" s="14" t="str">
        <x:v>Bấm tính khi chưa nhập</x:v>
      </x:c>
      <x:c r="G128" s="14" t="str">
        <x:v>Báo lỗi rõ</x:v>
      </x:c>
      <x:c r="H128" s="14" t="str">
        <x:v>P1 High</x:v>
      </x:c>
      <x:c r="I128" s="14" t="str">
        <x:v>Validation</x:v>
      </x:c>
      <x:c r="J128" s="14" t="str"/>
      <x:c r="K128" s="14" t="str">
        <x:v>Not Tested</x:v>
      </x:c>
      <x:c r="L128" s="14" t="str"/>
      <x:c r="M128" s="14" t="str"/>
      <x:c r="N128" s="14" t="str"/>
    </x:row>
    <x:row r="129">
      <x:c r="A129" s="14" t="str">
        <x:v>EX-128</x:v>
      </x:c>
      <x:c r="B129" s="14" t="str">
        <x:v>Electricity Calculator</x:v>
      </x:c>
      <x:c r="C129" s="14" t="str">
        <x:v>/kiem-tra-tien-dien</x:v>
      </x:c>
      <x:c r="D129" s="14" t="str">
        <x:v>Nhập chữ</x:v>
      </x:c>
      <x:c r="E129" s="14" t="str">
        <x:v>Ở form tính tiền</x:v>
      </x:c>
      <x:c r="F129" s="14" t="str">
        <x:v>Nhập `abc` vào ô số</x:v>
      </x:c>
      <x:c r="G129" s="14" t="str">
        <x:v>Không cho tính, báo lỗi</x:v>
      </x:c>
      <x:c r="H129" s="14" t="str">
        <x:v>P1 High</x:v>
      </x:c>
      <x:c r="I129" s="14" t="str">
        <x:v>Validation</x:v>
      </x:c>
      <x:c r="J129" s="14" t="str"/>
      <x:c r="K129" s="14" t="str">
        <x:v>Not Tested</x:v>
      </x:c>
      <x:c r="L129" s="14" t="str"/>
      <x:c r="M129" s="14" t="str"/>
      <x:c r="N129" s="14" t="str"/>
    </x:row>
    <x:row r="130">
      <x:c r="A130" s="14" t="str">
        <x:v>EX-129</x:v>
      </x:c>
      <x:c r="B130" s="14" t="str">
        <x:v>Electricity Calculator</x:v>
      </x:c>
      <x:c r="C130" s="14" t="str">
        <x:v>/kiem-tra-tien-dien</x:v>
      </x:c>
      <x:c r="D130" s="14" t="str">
        <x:v>Nhập số âm</x:v>
      </x:c>
      <x:c r="E130" s="14" t="str">
        <x:v>Ở form tính tiền</x:v>
      </x:c>
      <x:c r="F130" s="14" t="str">
        <x:v>Nhập -5</x:v>
      </x:c>
      <x:c r="G130" s="14" t="str">
        <x:v>Không cho tính</x:v>
      </x:c>
      <x:c r="H130" s="14" t="str">
        <x:v>P1 High</x:v>
      </x:c>
      <x:c r="I130" s="14" t="str">
        <x:v>Validation</x:v>
      </x:c>
      <x:c r="J130" s="14" t="str"/>
      <x:c r="K130" s="14" t="str">
        <x:v>Not Tested</x:v>
      </x:c>
      <x:c r="L130" s="14" t="str"/>
      <x:c r="M130" s="14" t="str"/>
      <x:c r="N130" s="14" t="str"/>
    </x:row>
    <x:row r="131">
      <x:c r="A131" s="14" t="str">
        <x:v>EX-130</x:v>
      </x:c>
      <x:c r="B131" s="14" t="str">
        <x:v>Electricity Calculator</x:v>
      </x:c>
      <x:c r="C131" s="14" t="str">
        <x:v>/kiem-tra-tien-dien</x:v>
      </x:c>
      <x:c r="D131" s="14" t="str">
        <x:v>Nhập số 0</x:v>
      </x:c>
      <x:c r="E131" s="14" t="str">
        <x:v>Ở form tính tiền</x:v>
      </x:c>
      <x:c r="F131" s="14" t="str">
        <x:v>Nhập 0 giờ hoặc 0W</x:v>
      </x:c>
      <x:c r="G131" s="14" t="str">
        <x:v>Kết quả 0 hoặc báo hợp lý, không NaN</x:v>
      </x:c>
      <x:c r="H131" s="14" t="str">
        <x:v>P2 Medium</x:v>
      </x:c>
      <x:c r="I131" s="14" t="str">
        <x:v>Validation</x:v>
      </x:c>
      <x:c r="J131" s="14" t="str"/>
      <x:c r="K131" s="14" t="str">
        <x:v>Not Tested</x:v>
      </x:c>
      <x:c r="L131" s="14" t="str"/>
      <x:c r="M131" s="14" t="str"/>
      <x:c r="N131" s="14" t="str"/>
    </x:row>
    <x:row r="132">
      <x:c r="A132" s="14" t="str">
        <x:v>EX-131</x:v>
      </x:c>
      <x:c r="B132" s="14" t="str">
        <x:v>Electricity Calculator</x:v>
      </x:c>
      <x:c r="C132" s="14" t="str">
        <x:v>/kiem-tra-tien-dien</x:v>
      </x:c>
      <x:c r="D132" s="14" t="str">
        <x:v>Tính thiết bị có sẵn</x:v>
      </x:c>
      <x:c r="E132" s="14" t="str">
        <x:v>Có danh sách thiết bị</x:v>
      </x:c>
      <x:c r="F132" s="14" t="str">
        <x:v>Chọn thiết bị mặc định và tính</x:v>
      </x:c>
      <x:c r="G132" s="14" t="str">
        <x:v>Công thức kWh = W/1000*giờ*ngày đúng</x:v>
      </x:c>
      <x:c r="H132" s="14" t="str">
        <x:v>P1 High</x:v>
      </x:c>
      <x:c r="I132" s="14" t="str">
        <x:v>Data Accuracy</x:v>
      </x:c>
      <x:c r="J132" s="14" t="str"/>
      <x:c r="K132" s="14" t="str">
        <x:v>Not Tested</x:v>
      </x:c>
      <x:c r="L132" s="14" t="str"/>
      <x:c r="M132" s="14" t="str"/>
      <x:c r="N132" s="14" t="str"/>
    </x:row>
    <x:row r="133">
      <x:c r="A133" s="14" t="str">
        <x:v>EX-132</x:v>
      </x:c>
      <x:c r="B133" s="14" t="str">
        <x:v>Electricity Calculator</x:v>
      </x:c>
      <x:c r="C133" s="14" t="str">
        <x:v>/kiem-tra-tien-dien</x:v>
      </x:c>
      <x:c r="D133" s="14" t="str">
        <x:v>Thêm thiết bị</x:v>
      </x:c>
      <x:c r="E133" s="14" t="str">
        <x:v>Trang có tính năng thêm</x:v>
      </x:c>
      <x:c r="F133" s="14" t="str">
        <x:v>Nhập tên, công suất, giờ dùng</x:v>
      </x:c>
      <x:c r="G133" s="14" t="str">
        <x:v>Thiết bị thêm vào list và tổng cập nhật</x:v>
      </x:c>
      <x:c r="H133" s="14" t="str">
        <x:v>P2 Medium</x:v>
      </x:c>
      <x:c r="I133" s="14" t="str">
        <x:v>Functional</x:v>
      </x:c>
      <x:c r="J133" s="14" t="str"/>
      <x:c r="K133" s="14" t="str">
        <x:v>Not Tested</x:v>
      </x:c>
      <x:c r="L133" s="14" t="str"/>
      <x:c r="M133" s="14" t="str"/>
      <x:c r="N133" s="14" t="str"/>
    </x:row>
    <x:row r="134">
      <x:c r="A134" s="14" t="str">
        <x:v>EX-133</x:v>
      </x:c>
      <x:c r="B134" s="14" t="str">
        <x:v>Electricity Calculator</x:v>
      </x:c>
      <x:c r="C134" s="14" t="str">
        <x:v>/kiem-tra-tien-dien</x:v>
      </x:c>
      <x:c r="D134" s="14" t="str">
        <x:v>Thêm thiết bị trùng tên</x:v>
      </x:c>
      <x:c r="E134" s="14" t="str">
        <x:v>Đã có thiết bị</x:v>
      </x:c>
      <x:c r="F134" s="14" t="str">
        <x:v>Thêm thiết bị cùng tên</x:v>
      </x:c>
      <x:c r="G134" s="14" t="str">
        <x:v>Không bị trùng vô lý hoặc cộng/gộp rõ ràng</x:v>
      </x:c>
      <x:c r="H134" s="14" t="str">
        <x:v>P2 Medium</x:v>
      </x:c>
      <x:c r="I134" s="14" t="str">
        <x:v>Data Integrity</x:v>
      </x:c>
      <x:c r="J134" s="14" t="str"/>
      <x:c r="K134" s="14" t="str">
        <x:v>Not Tested</x:v>
      </x:c>
      <x:c r="L134" s="14" t="str"/>
      <x:c r="M134" s="14" t="str"/>
      <x:c r="N134" s="14" t="str"/>
    </x:row>
    <x:row r="135">
      <x:c r="A135" s="14" t="str">
        <x:v>EX-134</x:v>
      </x:c>
      <x:c r="B135" s="14" t="str">
        <x:v>Electricity Calculator</x:v>
      </x:c>
      <x:c r="C135" s="14" t="str">
        <x:v>/kiem-tra-tien-dien</x:v>
      </x:c>
      <x:c r="D135" s="14" t="str">
        <x:v>Xóa thiết bị</x:v>
      </x:c>
      <x:c r="E135" s="14" t="str">
        <x:v>Có thiết bị trong list</x:v>
      </x:c>
      <x:c r="F135" s="14" t="str">
        <x:v>Bấm xóa</x:v>
      </x:c>
      <x:c r="G135" s="14" t="str">
        <x:v>Thiết bị biến mất và tổng cập nhật</x:v>
      </x:c>
      <x:c r="H135" s="14" t="str">
        <x:v>P2 Medium</x:v>
      </x:c>
      <x:c r="I135" s="14" t="str">
        <x:v>Functional</x:v>
      </x:c>
      <x:c r="J135" s="14" t="str"/>
      <x:c r="K135" s="14" t="str">
        <x:v>Not Tested</x:v>
      </x:c>
      <x:c r="L135" s="14" t="str"/>
      <x:c r="M135" s="14" t="str"/>
      <x:c r="N135" s="14" t="str"/>
    </x:row>
    <x:row r="136">
      <x:c r="A136" s="14" t="str">
        <x:v>EX-135</x:v>
      </x:c>
      <x:c r="B136" s="14" t="str">
        <x:v>Electricity Calculator</x:v>
      </x:c>
      <x:c r="C136" s="14" t="str">
        <x:v>/kiem-tra-tien-dien</x:v>
      </x:c>
      <x:c r="D136" s="14" t="str">
        <x:v>Reset form</x:v>
      </x:c>
      <x:c r="E136" s="14" t="str">
        <x:v>Đã nhập dữ liệu</x:v>
      </x:c>
      <x:c r="F136" s="14" t="str">
        <x:v>Bấm reset nếu có</x:v>
      </x:c>
      <x:c r="G136" s="14" t="str">
        <x:v>Form quay về mặc định, không giữ số cũ</x:v>
      </x:c>
      <x:c r="H136" s="14" t="str">
        <x:v>P3 Low</x:v>
      </x:c>
      <x:c r="I136" s="14" t="str">
        <x:v>Functional</x:v>
      </x:c>
      <x:c r="J136" s="14" t="str"/>
      <x:c r="K136" s="14" t="str">
        <x:v>Not Tested</x:v>
      </x:c>
      <x:c r="L136" s="14" t="str"/>
      <x:c r="M136" s="14" t="str"/>
      <x:c r="N136" s="14" t="str"/>
    </x:row>
    <x:row r="137">
      <x:c r="A137" s="14" t="str">
        <x:v>EX-136</x:v>
      </x:c>
      <x:c r="B137" s="14" t="str">
        <x:v>Electricity Calculator</x:v>
      </x:c>
      <x:c r="C137" s="14" t="str">
        <x:v>/kiem-tra-tien-dien</x:v>
      </x:c>
      <x:c r="D137" s="14" t="str">
        <x:v>Kết quả không NaN/Infinity</x:v>
      </x:c>
      <x:c r="E137" s="14" t="str">
        <x:v>Nhập dữ liệu biên</x:v>
      </x:c>
      <x:c r="F137" s="14" t="str">
        <x:v>Tính toán</x:v>
      </x:c>
      <x:c r="G137" s="14" t="str">
        <x:v>Không hiển thị NaN, Infinity, undefined</x:v>
      </x:c>
      <x:c r="H137" s="14" t="str">
        <x:v>P1 High</x:v>
      </x:c>
      <x:c r="I137" s="14" t="str">
        <x:v>Data Accuracy</x:v>
      </x:c>
      <x:c r="J137" s="14" t="str"/>
      <x:c r="K137" s="14" t="str">
        <x:v>Not Tested</x:v>
      </x:c>
      <x:c r="L137" s="14" t="str"/>
      <x:c r="M137" s="14" t="str"/>
      <x:c r="N137" s="14" t="str"/>
    </x:row>
    <x:row r="138">
      <x:c r="A138" s="14" t="str">
        <x:v>EX-137</x:v>
      </x:c>
      <x:c r="B138" s="14" t="str">
        <x:v>Electricity Calculator</x:v>
      </x:c>
      <x:c r="C138" s="14" t="str">
        <x:v>/kiem-tra-tien-dien</x:v>
      </x:c>
      <x:c r="D138" s="14" t="str">
        <x:v>Ghi rõ ước tính</x:v>
      </x:c>
      <x:c r="E138" s="14" t="str">
        <x:v>Sau khi tính</x:v>
      </x:c>
      <x:c r="F138" s="14" t="str">
        <x:v>Quan sát kết quả</x:v>
      </x:c>
      <x:c r="G138" s="14" t="str">
        <x:v>Nếu dùng đơn giá trung bình thì có nhãn ước tính, tránh gây hiểu nhầm</x:v>
      </x:c>
      <x:c r="H138" s="14" t="str">
        <x:v>P3 Low</x:v>
      </x:c>
      <x:c r="I138" s="14" t="str">
        <x:v>Content/UX</x:v>
      </x:c>
      <x:c r="J138" s="14" t="str"/>
      <x:c r="K138" s="14" t="str">
        <x:v>Not Tested</x:v>
      </x:c>
      <x:c r="L138" s="14" t="str"/>
      <x:c r="M138" s="14" t="str"/>
      <x:c r="N138" s="14" t="str"/>
    </x:row>
    <x:row r="139">
      <x:c r="A139" s="14" t="str">
        <x:v>EX-138</x:v>
      </x:c>
      <x:c r="B139" s="14" t="str">
        <x:v>Electricity Calculator</x:v>
      </x:c>
      <x:c r="C139" s="14" t="str">
        <x:v>/kiem-tra-tien-dien</x:v>
      </x:c>
      <x:c r="D139" s="14" t="str">
        <x:v>Mobile calculator</x:v>
      </x:c>
      <x:c r="E139" s="14" t="str">
        <x:v>Màn hình 375px</x:v>
      </x:c>
      <x:c r="F139" s="14" t="str">
        <x:v>Nhập và tính</x:v>
      </x:c>
      <x:c r="G139" s="14" t="str">
        <x:v>Form không tràn, input dễ thao tác</x:v>
      </x:c>
      <x:c r="H139" s="14" t="str">
        <x:v>P1 High</x:v>
      </x:c>
      <x:c r="I139" s="14" t="str">
        <x:v>Responsive</x:v>
      </x:c>
      <x:c r="J139" s="14" t="str"/>
      <x:c r="K139" s="14" t="str">
        <x:v>Not Tested</x:v>
      </x:c>
      <x:c r="L139" s="14" t="str"/>
      <x:c r="M139" s="14" t="str"/>
      <x:c r="N139" s="14" t="str"/>
    </x:row>
    <x:row r="140">
      <x:c r="A140" s="14" t="str">
        <x:v>EX-139</x:v>
      </x:c>
      <x:c r="B140" s="14" t="str">
        <x:v>Update Notice / Bug Report</x:v>
      </x:c>
      <x:c r="C140" s="14" t="str">
        <x:v>Global banner</x:v>
      </x:c>
      <x:c r="D140" s="14" t="str">
        <x:v>Banner cập nhật hiển thị</x:v>
      </x:c>
      <x:c r="E140" s="14" t="str">
        <x:v>Mở website lần đầu</x:v>
      </x:c>
      <x:c r="F140" s="14" t="str">
        <x:v>Quan sát góc/thông báo</x:v>
      </x:c>
      <x:c r="G140" s="14" t="str">
        <x:v>Hiện thông báo phát triển/Beta v1.0 nếu còn dùng</x:v>
      </x:c>
      <x:c r="H140" s="14" t="str">
        <x:v>P2 Medium</x:v>
      </x:c>
      <x:c r="I140" s="14" t="str">
        <x:v>Functional</x:v>
      </x:c>
      <x:c r="J140" s="14" t="str"/>
      <x:c r="K140" s="14" t="str">
        <x:v>Not Tested</x:v>
      </x:c>
      <x:c r="L140" s="14" t="str"/>
      <x:c r="M140" s="14" t="str"/>
      <x:c r="N140" s="14" t="str"/>
    </x:row>
    <x:row r="141">
      <x:c r="A141" s="14" t="str">
        <x:v>EX-140</x:v>
      </x:c>
      <x:c r="B141" s="14" t="str">
        <x:v>Update Notice / Bug Report</x:v>
      </x:c>
      <x:c r="C141" s="14" t="str">
        <x:v>Global banner</x:v>
      </x:c>
      <x:c r="D141" s="14" t="str">
        <x:v>Đóng thông báo</x:v>
      </x:c>
      <x:c r="E141" s="14" t="str">
        <x:v>Banner đang mở</x:v>
      </x:c>
      <x:c r="F141" s="14" t="str">
        <x:v>Bấm Đóng thông báo</x:v>
      </x:c>
      <x:c r="G141" s="14" t="str">
        <x:v>Banner đóng, không để overlay trong suốt che UI</x:v>
      </x:c>
      <x:c r="H141" s="14" t="str">
        <x:v>P1 High</x:v>
      </x:c>
      <x:c r="I141" s="14" t="str">
        <x:v>Functional</x:v>
      </x:c>
      <x:c r="J141" s="14" t="str"/>
      <x:c r="K141" s="14" t="str">
        <x:v>Not Tested</x:v>
      </x:c>
      <x:c r="L141" s="14" t="str"/>
      <x:c r="M141" s="14" t="str"/>
      <x:c r="N141" s="14" t="str"/>
    </x:row>
    <x:row r="142">
      <x:c r="A142" s="14" t="str">
        <x:v>EX-141</x:v>
      </x:c>
      <x:c r="B142" s="14" t="str">
        <x:v>Update Notice / Bug Report</x:v>
      </x:c>
      <x:c r="C142" s="14" t="str">
        <x:v>Global banner</x:v>
      </x:c>
      <x:c r="D142" s="14" t="str">
        <x:v>Nút Báo cáo lỗi</x:v>
      </x:c>
      <x:c r="E142" s="14" t="str">
        <x:v>Banner đang mở</x:v>
      </x:c>
      <x:c r="F142" s="14" t="str">
        <x:v>Bấm Báo cáo lỗi</x:v>
      </x:c>
      <x:c r="G142" s="14" t="str">
        <x:v>Mở đúng Google Form `forms.gle/H7haoeUWb16TNUDw6`</x:v>
      </x:c>
      <x:c r="H142" s="14" t="str">
        <x:v>P1 High</x:v>
      </x:c>
      <x:c r="I142" s="14" t="str">
        <x:v>Route</x:v>
      </x:c>
      <x:c r="J142" s="14" t="str"/>
      <x:c r="K142" s="14" t="str">
        <x:v>Not Tested</x:v>
      </x:c>
      <x:c r="L142" s="14" t="str"/>
      <x:c r="M142" s="14" t="str"/>
      <x:c r="N142" s="14" t="str"/>
    </x:row>
    <x:row r="143">
      <x:c r="A143" s="14" t="str">
        <x:v>EX-142</x:v>
      </x:c>
      <x:c r="B143" s="14" t="str">
        <x:v>Update Notice / Bug Report</x:v>
      </x:c>
      <x:c r="C143" s="14" t="str">
        <x:v>Global banner</x:v>
      </x:c>
      <x:c r="D143" s="14" t="str">
        <x:v>Nút báo cáo không bị trắng</x:v>
      </x:c>
      <x:c r="E143" s="14" t="str">
        <x:v>Sau khi bấm report và quay lại</x:v>
      </x:c>
      <x:c r="F143" s="14" t="str">
        <x:v>Quan sát nút</x:v>
      </x:c>
      <x:c r="G143" s="14" t="str">
        <x:v>Nút vẫn có chữ/màu, không biến thành trắng</x:v>
      </x:c>
      <x:c r="H143" s="14" t="str">
        <x:v>P1 High</x:v>
      </x:c>
      <x:c r="I143" s="14" t="str">
        <x:v>UI/UX</x:v>
      </x:c>
      <x:c r="J143" s="14" t="str"/>
      <x:c r="K143" s="14" t="str">
        <x:v>Not Tested</x:v>
      </x:c>
      <x:c r="L143" s="14" t="str"/>
      <x:c r="M143" s="14" t="str"/>
      <x:c r="N143" s="14" t="str"/>
    </x:row>
    <x:row r="144">
      <x:c r="A144" s="14" t="str">
        <x:v>EX-143</x:v>
      </x:c>
      <x:c r="B144" s="14" t="str">
        <x:v>Update Notice / Bug Report</x:v>
      </x:c>
      <x:c r="C144" s="14" t="str">
        <x:v>Global banner</x:v>
      </x:c>
      <x:c r="D144" s="14" t="str">
        <x:v>Banner không che navbar</x:v>
      </x:c>
      <x:c r="E144" s="14" t="str">
        <x:v>Mở trang ở desktop</x:v>
      </x:c>
      <x:c r="F144" s="14" t="str">
        <x:v>Quan sát banner</x:v>
      </x:c>
      <x:c r="G144" s="14" t="str">
        <x:v>Không che menu/nút quan trọng</x:v>
      </x:c>
      <x:c r="H144" s="14" t="str">
        <x:v>P2 Medium</x:v>
      </x:c>
      <x:c r="I144" s="14" t="str">
        <x:v>UI/UX</x:v>
      </x:c>
      <x:c r="J144" s="14" t="str"/>
      <x:c r="K144" s="14" t="str">
        <x:v>Not Tested</x:v>
      </x:c>
      <x:c r="L144" s="14" t="str"/>
      <x:c r="M144" s="14" t="str"/>
      <x:c r="N144" s="14" t="str"/>
    </x:row>
    <x:row r="145">
      <x:c r="A145" s="14" t="str">
        <x:v>EX-144</x:v>
      </x:c>
      <x:c r="B145" s="14" t="str">
        <x:v>Update Notice / Bug Report</x:v>
      </x:c>
      <x:c r="C145" s="14" t="str">
        <x:v>Global banner</x:v>
      </x:c>
      <x:c r="D145" s="14" t="str">
        <x:v>Banner mobile</x:v>
      </x:c>
      <x:c r="E145" s="14" t="str">
        <x:v>Màn hình 375px</x:v>
      </x:c>
      <x:c r="F145" s="14" t="str">
        <x:v>Mở/đóng banner</x:v>
      </x:c>
      <x:c r="G145" s="14" t="str">
        <x:v>Không che hết màn hình, nút đóng dễ bấm</x:v>
      </x:c>
      <x:c r="H145" s="14" t="str">
        <x:v>P1 High</x:v>
      </x:c>
      <x:c r="I145" s="14" t="str">
        <x:v>Responsive</x:v>
      </x:c>
      <x:c r="J145" s="14" t="str"/>
      <x:c r="K145" s="14" t="str">
        <x:v>Not Tested</x:v>
      </x:c>
      <x:c r="L145" s="14" t="str"/>
      <x:c r="M145" s="14" t="str"/>
      <x:c r="N145" s="14" t="str"/>
    </x:row>
    <x:row r="146">
      <x:c r="A146" s="14" t="str">
        <x:v>EX-145</x:v>
      </x:c>
      <x:c r="B146" s="14" t="str">
        <x:v>Update Notice / Bug Report</x:v>
      </x:c>
      <x:c r="C146" s="14" t="str">
        <x:v>Global banner</x:v>
      </x:c>
      <x:c r="D146" s="14" t="str">
        <x:v>Lưu trạng thái đã đóng</x:v>
      </x:c>
      <x:c r="E146" s="14" t="str">
        <x:v>Đóng banner</x:v>
      </x:c>
      <x:c r="F146" s="14" t="str">
        <x:v>F5 hoặc đổi route</x:v>
      </x:c>
      <x:c r="G146" s="14" t="str">
        <x:v>Không hiện lại quá phiền nếu thiết kế yêu cầu nhớ trạng thái</x:v>
      </x:c>
      <x:c r="H146" s="14" t="str">
        <x:v>P3 Low</x:v>
      </x:c>
      <x:c r="I146" s="14" t="str">
        <x:v>UX</x:v>
      </x:c>
      <x:c r="J146" s="14" t="str"/>
      <x:c r="K146" s="14" t="str">
        <x:v>Not Tested</x:v>
      </x:c>
      <x:c r="L146" s="14" t="str"/>
      <x:c r="M146" s="14" t="str"/>
      <x:c r="N146" s="14" t="str"/>
    </x:row>
    <x:row r="147">
      <x:c r="A147" s="14" t="str">
        <x:v>EX-146</x:v>
      </x:c>
      <x:c r="B147" s="14" t="str">
        <x:v>Update Notice / Bug Report</x:v>
      </x:c>
      <x:c r="C147" s="14" t="str">
        <x:v>Global banner</x:v>
      </x:c>
      <x:c r="D147" s="14" t="str">
        <x:v>Text phiên bản đúng</x:v>
      </x:c>
      <x:c r="E147" s="14" t="str">
        <x:v>Mở banner</x:v>
      </x:c>
      <x:c r="F147" s="14" t="str">
        <x:v>Kiểm tra version/ngày</x:v>
      </x:c>
      <x:c r="G147" s="14" t="str">
        <x:v>Thông tin version không sai/không cũ gây nhầm; nếu là bản 1.1 thì cập nhật nhãn</x:v>
      </x:c>
      <x:c r="H147" s="14" t="str">
        <x:v>P2 Medium</x:v>
      </x:c>
      <x:c r="I147" s="14" t="str">
        <x:v>Content</x:v>
      </x:c>
      <x:c r="J147" s="14" t="str"/>
      <x:c r="K147" s="14" t="str">
        <x:v>Not Tested</x:v>
      </x:c>
      <x:c r="L147" s="14" t="str"/>
      <x:c r="M147" s="14" t="str"/>
      <x:c r="N147" s="14" t="str"/>
    </x:row>
    <x:row r="148">
      <x:c r="A148" s="14" t="str">
        <x:v>EX-147</x:v>
      </x:c>
      <x:c r="B148" s="14" t="str">
        <x:v>Search / Filter / Pagination</x:v>
      </x:c>
      <x:c r="C148" s="14" t="str">
        <x:v>List pages</x:v>
      </x:c>
      <x:c r="D148" s="14" t="str">
        <x:v>Search toàn trang có dấu</x:v>
      </x:c>
      <x:c r="E148" s="14" t="str">
        <x:v>Có search</x:v>
      </x:c>
      <x:c r="F148" s="14" t="str">
        <x:v>Nhập `tiết kiệm điện`</x:v>
      </x:c>
      <x:c r="G148" s="14" t="str">
        <x:v>Trả kết quả liên quan</x:v>
      </x:c>
      <x:c r="H148" s="14" t="str">
        <x:v>P2 Medium</x:v>
      </x:c>
      <x:c r="I148" s="14" t="str">
        <x:v>Functional</x:v>
      </x:c>
      <x:c r="J148" s="14" t="str"/>
      <x:c r="K148" s="14" t="str">
        <x:v>Not Tested</x:v>
      </x:c>
      <x:c r="L148" s="14" t="str"/>
      <x:c r="M148" s="14" t="str"/>
      <x:c r="N148" s="14" t="str"/>
    </x:row>
    <x:row r="149">
      <x:c r="A149" s="14" t="str">
        <x:v>EX-148</x:v>
      </x:c>
      <x:c r="B149" s="14" t="str">
        <x:v>Search / Filter / Pagination</x:v>
      </x:c>
      <x:c r="C149" s="14" t="str">
        <x:v>List pages</x:v>
      </x:c>
      <x:c r="D149" s="14" t="str">
        <x:v>Search không dấu</x:v>
      </x:c>
      <x:c r="E149" s="14" t="str">
        <x:v>Có search</x:v>
      </x:c>
      <x:c r="F149" s="14" t="str">
        <x:v>Nhập `tiet kiem dien`</x:v>
      </x:c>
      <x:c r="G149" s="14" t="str">
        <x:v>Nên tìm được hoặc ghi rõ chưa hỗ trợ</x:v>
      </x:c>
      <x:c r="H149" s="14" t="str">
        <x:v>P3 Low</x:v>
      </x:c>
      <x:c r="I149" s="14" t="str">
        <x:v>UX</x:v>
      </x:c>
      <x:c r="J149" s="14" t="str"/>
      <x:c r="K149" s="14" t="str">
        <x:v>Not Tested</x:v>
      </x:c>
      <x:c r="L149" s="14" t="str"/>
      <x:c r="M149" s="14" t="str"/>
      <x:c r="N149" s="14" t="str"/>
    </x:row>
    <x:row r="150">
      <x:c r="A150" s="14" t="str">
        <x:v>EX-149</x:v>
      </x:c>
      <x:c r="B150" s="14" t="str">
        <x:v>Search / Filter / Pagination</x:v>
      </x:c>
      <x:c r="C150" s="14" t="str">
        <x:v>List pages</x:v>
      </x:c>
      <x:c r="D150" s="14" t="str">
        <x:v>Search hoa/thường</x:v>
      </x:c>
      <x:c r="E150" s="14" t="str">
        <x:v>Có search</x:v>
      </x:c>
      <x:c r="F150" s="14" t="str">
        <x:v>Nhập `ĐIỆN` và `điện`</x:v>
      </x:c>
      <x:c r="G150" s="14" t="str">
        <x:v>Kết quả giống nhau</x:v>
      </x:c>
      <x:c r="H150" s="14" t="str">
        <x:v>P2 Medium</x:v>
      </x:c>
      <x:c r="I150" s="14" t="str">
        <x:v>Functional</x:v>
      </x:c>
      <x:c r="J150" s="14" t="str"/>
      <x:c r="K150" s="14" t="str">
        <x:v>Not Tested</x:v>
      </x:c>
      <x:c r="L150" s="14" t="str"/>
      <x:c r="M150" s="14" t="str"/>
      <x:c r="N150" s="14" t="str"/>
    </x:row>
    <x:row r="151">
      <x:c r="A151" s="14" t="str">
        <x:v>EX-150</x:v>
      </x:c>
      <x:c r="B151" s="14" t="str">
        <x:v>Search / Filter / Pagination</x:v>
      </x:c>
      <x:c r="C151" s="14" t="str">
        <x:v>List pages</x:v>
      </x:c>
      <x:c r="D151" s="14" t="str">
        <x:v>Search debounce/loading</x:v>
      </x:c>
      <x:c r="E151" s="14" t="str">
        <x:v>Có search</x:v>
      </x:c>
      <x:c r="F151" s="14" t="str">
        <x:v>Gõ nhanh liên tục</x:v>
      </x:c>
      <x:c r="G151" s="14" t="str">
        <x:v>Không lag, không bắn lỗi console</x:v>
      </x:c>
      <x:c r="H151" s="14" t="str">
        <x:v>P3 Low</x:v>
      </x:c>
      <x:c r="I151" s="14" t="str">
        <x:v>Performance</x:v>
      </x:c>
      <x:c r="J151" s="14" t="str"/>
      <x:c r="K151" s="14" t="str">
        <x:v>Not Tested</x:v>
      </x:c>
      <x:c r="L151" s="14" t="str"/>
      <x:c r="M151" s="14" t="str"/>
      <x:c r="N151" s="14" t="str"/>
    </x:row>
    <x:row r="152">
      <x:c r="A152" s="14" t="str">
        <x:v>EX-151</x:v>
      </x:c>
      <x:c r="B152" s="14" t="str">
        <x:v>Search / Filter / Pagination</x:v>
      </x:c>
      <x:c r="C152" s="14" t="str">
        <x:v>List pages</x:v>
      </x:c>
      <x:c r="D152" s="14" t="str">
        <x:v>Filter + search kết hợp</x:v>
      </x:c>
      <x:c r="E152" s="14" t="str">
        <x:v>Có filter và search</x:v>
      </x:c>
      <x:c r="F152" s="14" t="str">
        <x:v>Chọn filter rồi search</x:v>
      </x:c>
      <x:c r="G152" s="14" t="str">
        <x:v>Kết quả đúng cả 2 điều kiện</x:v>
      </x:c>
      <x:c r="H152" s="14" t="str">
        <x:v>P2 Medium</x:v>
      </x:c>
      <x:c r="I152" s="14" t="str">
        <x:v>Functional</x:v>
      </x:c>
      <x:c r="J152" s="14" t="str"/>
      <x:c r="K152" s="14" t="str">
        <x:v>Not Tested</x:v>
      </x:c>
      <x:c r="L152" s="14" t="str"/>
      <x:c r="M152" s="14" t="str"/>
      <x:c r="N152" s="14" t="str"/>
    </x:row>
    <x:row r="153">
      <x:c r="A153" s="14" t="str">
        <x:v>EX-152</x:v>
      </x:c>
      <x:c r="B153" s="14" t="str">
        <x:v>Search / Filter / Pagination</x:v>
      </x:c>
      <x:c r="C153" s="14" t="str">
        <x:v>List pages</x:v>
      </x:c>
      <x:c r="D153" s="14" t="str">
        <x:v>Reset filter</x:v>
      </x:c>
      <x:c r="E153" s="14" t="str">
        <x:v>Đang lọc</x:v>
      </x:c>
      <x:c r="F153" s="14" t="str">
        <x:v>Bấm reset/xóa filter</x:v>
      </x:c>
      <x:c r="G153" s="14" t="str">
        <x:v>Danh sách trở về ban đầu</x:v>
      </x:c>
      <x:c r="H153" s="14" t="str">
        <x:v>P2 Medium</x:v>
      </x:c>
      <x:c r="I153" s="14" t="str">
        <x:v>Functional</x:v>
      </x:c>
      <x:c r="J153" s="14" t="str"/>
      <x:c r="K153" s="14" t="str">
        <x:v>Not Tested</x:v>
      </x:c>
      <x:c r="L153" s="14" t="str"/>
      <x:c r="M153" s="14" t="str"/>
      <x:c r="N153" s="14" t="str"/>
    </x:row>
    <x:row r="154">
      <x:c r="A154" s="14" t="str">
        <x:v>EX-153</x:v>
      </x:c>
      <x:c r="B154" s="14" t="str">
        <x:v>Search / Filter / Pagination</x:v>
      </x:c>
      <x:c r="C154" s="14" t="str">
        <x:v>List pages</x:v>
      </x:c>
      <x:c r="D154" s="14" t="str">
        <x:v>Pagination trang sau</x:v>
      </x:c>
      <x:c r="E154" s="14" t="str">
        <x:v>Có nhiều bài</x:v>
      </x:c>
      <x:c r="F154" s="14" t="str">
        <x:v>Bấm page 2/next</x:v>
      </x:c>
      <x:c r="G154" s="14" t="str">
        <x:v>Danh sách đổi đúng</x:v>
      </x:c>
      <x:c r="H154" s="14" t="str">
        <x:v>P2 Medium</x:v>
      </x:c>
      <x:c r="I154" s="14" t="str">
        <x:v>Functional</x:v>
      </x:c>
      <x:c r="J154" s="14" t="str"/>
      <x:c r="K154" s="14" t="str">
        <x:v>Not Tested</x:v>
      </x:c>
      <x:c r="L154" s="14" t="str"/>
      <x:c r="M154" s="14" t="str"/>
      <x:c r="N154" s="14" t="str"/>
    </x:row>
    <x:row r="155">
      <x:c r="A155" s="14" t="str">
        <x:v>EX-154</x:v>
      </x:c>
      <x:c r="B155" s="14" t="str">
        <x:v>Search / Filter / Pagination</x:v>
      </x:c>
      <x:c r="C155" s="14" t="str">
        <x:v>List pages</x:v>
      </x:c>
      <x:c r="D155" s="14" t="str">
        <x:v>Pagination trang đầu</x:v>
      </x:c>
      <x:c r="E155" s="14" t="str">
        <x:v>Ở page 1</x:v>
      </x:c>
      <x:c r="F155" s="14" t="str">
        <x:v>Kiểm tra nút previous</x:v>
      </x:c>
      <x:c r="G155" s="14" t="str">
        <x:v>Previous disabled hoặc không gây lỗi</x:v>
      </x:c>
      <x:c r="H155" s="14" t="str">
        <x:v>P3 Low</x:v>
      </x:c>
      <x:c r="I155" s="14" t="str">
        <x:v>UX</x:v>
      </x:c>
      <x:c r="J155" s="14" t="str"/>
      <x:c r="K155" s="14" t="str">
        <x:v>Not Tested</x:v>
      </x:c>
      <x:c r="L155" s="14" t="str"/>
      <x:c r="M155" s="14" t="str"/>
      <x:c r="N155" s="14" t="str"/>
    </x:row>
    <x:row r="156">
      <x:c r="A156" s="14" t="str">
        <x:v>EX-155</x:v>
      </x:c>
      <x:c r="B156" s="14" t="str">
        <x:v>Search / Filter / Pagination</x:v>
      </x:c>
      <x:c r="C156" s="14" t="str">
        <x:v>List pages</x:v>
      </x:c>
      <x:c r="D156" s="14" t="str">
        <x:v>Pagination sau search</x:v>
      </x:c>
      <x:c r="E156" s="14" t="str">
        <x:v>Đang ở page 2</x:v>
      </x:c>
      <x:c r="F156" s="14" t="str">
        <x:v>Nhập search mới</x:v>
      </x:c>
      <x:c r="G156" s="14" t="str">
        <x:v>Page reset về 1 hoặc kết quả không rỗng sai</x:v>
      </x:c>
      <x:c r="H156" s="14" t="str">
        <x:v>P2 Medium</x:v>
      </x:c>
      <x:c r="I156" s="14" t="str">
        <x:v>Functional</x:v>
      </x:c>
      <x:c r="J156" s="14" t="str"/>
      <x:c r="K156" s="14" t="str">
        <x:v>Not Tested</x:v>
      </x:c>
      <x:c r="L156" s="14" t="str"/>
      <x:c r="M156" s="14" t="str"/>
      <x:c r="N156" s="14" t="str"/>
    </x:row>
    <x:row r="157">
      <x:c r="A157" s="14" t="str">
        <x:v>EX-156</x:v>
      </x:c>
      <x:c r="B157" s="14" t="str">
        <x:v>Search / Filter / Pagination</x:v>
      </x:c>
      <x:c r="C157" s="14" t="str">
        <x:v>List pages</x:v>
      </x:c>
      <x:c r="D157" s="14" t="str">
        <x:v>Không có phân trang giả</x:v>
      </x:c>
      <x:c r="E157" s="14" t="str">
        <x:v>Dữ liệu ít</x:v>
      </x:c>
      <x:c r="F157" s="14" t="str">
        <x:v>Quan sát pagination</x:v>
      </x:c>
      <x:c r="G157" s="14" t="str">
        <x:v>Không hiện nút trang không cần thiết hoặc nút chết</x:v>
      </x:c>
      <x:c r="H157" s="14" t="str">
        <x:v>P3 Low</x:v>
      </x:c>
      <x:c r="I157" s="14" t="str">
        <x:v>UI/UX</x:v>
      </x:c>
      <x:c r="J157" s="14" t="str"/>
      <x:c r="K157" s="14" t="str">
        <x:v>Not Tested</x:v>
      </x:c>
      <x:c r="L157" s="14" t="str"/>
      <x:c r="M157" s="14" t="str"/>
      <x:c r="N157" s="14" t="str"/>
    </x:row>
    <x:row r="158">
      <x:c r="A158" s="14" t="str">
        <x:v>EX-157</x:v>
      </x:c>
      <x:c r="B158" s="14" t="str">
        <x:v>Admin Dashboard / Post Management</x:v>
      </x:c>
      <x:c r="C158" s="14" t="str">
        <x:v>/admin, /admin/quan-ly-bai-viet</x:v>
      </x:c>
      <x:c r="D158" s="14" t="str">
        <x:v>Admin dashboard load</x:v>
      </x:c>
      <x:c r="E158" s="14" t="str">
        <x:v>Login admin</x:v>
      </x:c>
      <x:c r="F158" s="14" t="str">
        <x:v>Vào `/admin`</x:v>
      </x:c>
      <x:c r="G158" s="14" t="str">
        <x:v>Dashboard load không crash</x:v>
      </x:c>
      <x:c r="H158" s="14" t="str">
        <x:v>P0 Critical</x:v>
      </x:c>
      <x:c r="I158" s="14" t="str">
        <x:v>Functional</x:v>
      </x:c>
      <x:c r="J158" s="14" t="str"/>
      <x:c r="K158" s="14" t="str">
        <x:v>Not Tested</x:v>
      </x:c>
      <x:c r="L158" s="14" t="str"/>
      <x:c r="M158" s="14" t="str"/>
      <x:c r="N158" s="14" t="str"/>
    </x:row>
    <x:row r="159">
      <x:c r="A159" s="14" t="str">
        <x:v>EX-158</x:v>
      </x:c>
      <x:c r="B159" s="14" t="str">
        <x:v>Admin Dashboard / Post Management</x:v>
      </x:c>
      <x:c r="C159" s="14" t="str">
        <x:v>/admin, /admin/quan-ly-bai-viet</x:v>
      </x:c>
      <x:c r="D159" s="14" t="str">
        <x:v>Dashboard số liệu không NaN</x:v>
      </x:c>
      <x:c r="E159" s="14" t="str">
        <x:v>Admin ở dashboard</x:v>
      </x:c>
      <x:c r="F159" s="14" t="str">
        <x:v>Quan sát các card thống kê</x:v>
      </x:c>
      <x:c r="G159" s="14" t="str">
        <x:v>Không có NaN/undefined/số âm</x:v>
      </x:c>
      <x:c r="H159" s="14" t="str">
        <x:v>P1 High</x:v>
      </x:c>
      <x:c r="I159" s="14" t="str">
        <x:v>Data Accuracy</x:v>
      </x:c>
      <x:c r="J159" s="14" t="str"/>
      <x:c r="K159" s="14" t="str">
        <x:v>Not Tested</x:v>
      </x:c>
      <x:c r="L159" s="14" t="str"/>
      <x:c r="M159" s="14" t="str"/>
      <x:c r="N159" s="14" t="str"/>
    </x:row>
    <x:row r="160">
      <x:c r="A160" s="14" t="str">
        <x:v>EX-159</x:v>
      </x:c>
      <x:c r="B160" s="14" t="str">
        <x:v>Admin Dashboard / Post Management</x:v>
      </x:c>
      <x:c r="C160" s="14" t="str">
        <x:v>/admin, /admin/quan-ly-bai-viet</x:v>
      </x:c>
      <x:c r="D160" s="14" t="str">
        <x:v>Card thống kê click được nếu có</x:v>
      </x:c>
      <x:c r="E160" s="14" t="str">
        <x:v>Admin ở dashboard</x:v>
      </x:c>
      <x:c r="F160" s="14" t="str">
        <x:v>Bấm từng card</x:v>
      </x:c>
      <x:c r="G160" s="14" t="str">
        <x:v>Đi đúng trang quản lý hoặc không làm thì không nên giống nút</x:v>
      </x:c>
      <x:c r="H160" s="14" t="str">
        <x:v>P2 Medium</x:v>
      </x:c>
      <x:c r="I160" s="14" t="str">
        <x:v>UX</x:v>
      </x:c>
      <x:c r="J160" s="14" t="str"/>
      <x:c r="K160" s="14" t="str">
        <x:v>Not Tested</x:v>
      </x:c>
      <x:c r="L160" s="14" t="str"/>
      <x:c r="M160" s="14" t="str"/>
      <x:c r="N160" s="14" t="str"/>
    </x:row>
    <x:row r="161">
      <x:c r="A161" s="14" t="str">
        <x:v>EX-160</x:v>
      </x:c>
      <x:c r="B161" s="14" t="str">
        <x:v>Admin Dashboard / Post Management</x:v>
      </x:c>
      <x:c r="C161" s="14" t="str">
        <x:v>/admin, /admin/quan-ly-bai-viet</x:v>
      </x:c>
      <x:c r="D161" s="14" t="str">
        <x:v>Bài cần phê duyệt đẹp</x:v>
      </x:c>
      <x:c r="E161" s="14" t="str">
        <x:v>Có bài pending</x:v>
      </x:c>
      <x:c r="F161" s="14" t="str">
        <x:v>Quan sát khối cần phê duyệt</x:v>
      </x:c>
      <x:c r="G161" s="14" t="str">
        <x:v>Bố cục rõ, nút duyệt/từ chối dễ thấy</x:v>
      </x:c>
      <x:c r="H161" s="14" t="str">
        <x:v>P2 Medium</x:v>
      </x:c>
      <x:c r="I161" s="14" t="str">
        <x:v>UI/UX</x:v>
      </x:c>
      <x:c r="J161" s="14" t="str"/>
      <x:c r="K161" s="14" t="str">
        <x:v>Not Tested</x:v>
      </x:c>
      <x:c r="L161" s="14" t="str"/>
      <x:c r="M161" s="14" t="str"/>
      <x:c r="N161" s="14" t="str"/>
    </x:row>
    <x:row r="162">
      <x:c r="A162" s="14" t="str">
        <x:v>EX-161</x:v>
      </x:c>
      <x:c r="B162" s="14" t="str">
        <x:v>Admin Dashboard / Post Management</x:v>
      </x:c>
      <x:c r="C162" s="14" t="str">
        <x:v>/admin, /admin/quan-ly-bai-viet</x:v>
      </x:c>
      <x:c r="D162" s="14" t="str">
        <x:v>Không có bài pending</x:v>
      </x:c>
      <x:c r="E162" s="14" t="str">
        <x:v>Admin dashboard</x:v>
      </x:c>
      <x:c r="F162" s="14" t="str">
        <x:v>Không có pending</x:v>
      </x:c>
      <x:c r="G162" s="14" t="str">
        <x:v>Hiện trạng thái rỗng, không để card lỗi</x:v>
      </x:c>
      <x:c r="H162" s="14" t="str">
        <x:v>P2 Medium</x:v>
      </x:c>
      <x:c r="I162" s="14" t="str">
        <x:v>Empty State</x:v>
      </x:c>
      <x:c r="J162" s="14" t="str"/>
      <x:c r="K162" s="14" t="str">
        <x:v>Not Tested</x:v>
      </x:c>
      <x:c r="L162" s="14" t="str"/>
      <x:c r="M162" s="14" t="str"/>
      <x:c r="N162" s="14" t="str"/>
    </x:row>
    <x:row r="163">
      <x:c r="A163" s="14" t="str">
        <x:v>EX-162</x:v>
      </x:c>
      <x:c r="B163" s="14" t="str">
        <x:v>Admin Dashboard / Post Management</x:v>
      </x:c>
      <x:c r="C163" s="14" t="str">
        <x:v>/admin, /admin/quan-ly-bai-viet</x:v>
      </x:c>
      <x:c r="D163" s="14" t="str">
        <x:v>Admin route con `/admin/quan-ly-bai-viet`</x:v>
      </x:c>
      <x:c r="E163" s="14" t="str">
        <x:v>Login admin</x:v>
      </x:c>
      <x:c r="F163" s="14" t="str">
        <x:v>Vào route quản lý bài</x:v>
      </x:c>
      <x:c r="G163" s="14" t="str">
        <x:v>Không crash, list load được</x:v>
      </x:c>
      <x:c r="H163" s="14" t="str">
        <x:v>P0 Critical</x:v>
      </x:c>
      <x:c r="I163" s="14" t="str">
        <x:v>Route</x:v>
      </x:c>
      <x:c r="J163" s="14" t="str"/>
      <x:c r="K163" s="14" t="str">
        <x:v>Not Tested</x:v>
      </x:c>
      <x:c r="L163" s="14" t="str"/>
      <x:c r="M163" s="14" t="str"/>
      <x:c r="N163" s="14" t="str"/>
    </x:row>
    <x:row r="164">
      <x:c r="A164" s="14" t="str">
        <x:v>EX-163</x:v>
      </x:c>
      <x:c r="B164" s="14" t="str">
        <x:v>Admin Dashboard / Post Management</x:v>
      </x:c>
      <x:c r="C164" s="14" t="str">
        <x:v>/admin, /admin/quan-ly-bai-viet</x:v>
      </x:c>
      <x:c r="D164" s="14" t="str">
        <x:v>Danh sách bài admin</x:v>
      </x:c>
      <x:c r="E164" s="14" t="str">
        <x:v>Admin quản lý bài</x:v>
      </x:c>
      <x:c r="F164" s="14" t="str">
        <x:v>Quan sát table/card</x:v>
      </x:c>
      <x:c r="G164" s="14" t="str">
        <x:v>Có tiêu đề, tác giả, trạng thái, ngày, action</x:v>
      </x:c>
      <x:c r="H164" s="14" t="str">
        <x:v>P1 High</x:v>
      </x:c>
      <x:c r="I164" s="14" t="str">
        <x:v>Functional</x:v>
      </x:c>
      <x:c r="J164" s="14" t="str"/>
      <x:c r="K164" s="14" t="str">
        <x:v>Not Tested</x:v>
      </x:c>
      <x:c r="L164" s="14" t="str"/>
      <x:c r="M164" s="14" t="str"/>
      <x:c r="N164" s="14" t="str"/>
    </x:row>
    <x:row r="165">
      <x:c r="A165" s="14" t="str">
        <x:v>EX-164</x:v>
      </x:c>
      <x:c r="B165" s="14" t="str">
        <x:v>Admin Dashboard / Post Management</x:v>
      </x:c>
      <x:c r="C165" s="14" t="str">
        <x:v>/admin, /admin/quan-ly-bai-viet</x:v>
      </x:c>
      <x:c r="D165" s="14" t="str">
        <x:v>Duyệt bài pending</x:v>
      </x:c>
      <x:c r="E165" s="14" t="str">
        <x:v>Có bài pending</x:v>
      </x:c>
      <x:c r="F165" s="14" t="str">
        <x:v>Bấm Duyệt</x:v>
      </x:c>
      <x:c r="G165" s="14" t="str">
        <x:v>Status chuyển approved, bài hiện công khai đúng nơi</x:v>
      </x:c>
      <x:c r="H165" s="14" t="str">
        <x:v>P0 Critical</x:v>
      </x:c>
      <x:c r="I165" s="14" t="str">
        <x:v>Functional</x:v>
      </x:c>
      <x:c r="J165" s="14" t="str"/>
      <x:c r="K165" s="14" t="str">
        <x:v>Not Tested</x:v>
      </x:c>
      <x:c r="L165" s="14" t="str"/>
      <x:c r="M165" s="14" t="str"/>
      <x:c r="N165" s="14" t="str"/>
    </x:row>
    <x:row r="166">
      <x:c r="A166" s="14" t="str">
        <x:v>EX-165</x:v>
      </x:c>
      <x:c r="B166" s="14" t="str">
        <x:v>Admin Dashboard / Post Management</x:v>
      </x:c>
      <x:c r="C166" s="14" t="str">
        <x:v>/admin, /admin/quan-ly-bai-viet</x:v>
      </x:c>
      <x:c r="D166" s="14" t="str">
        <x:v>Từ chối bài pending</x:v>
      </x:c>
      <x:c r="E166" s="14" t="str">
        <x:v>Có bài pending</x:v>
      </x:c>
      <x:c r="F166" s="14" t="str">
        <x:v>Bấm Từ chối</x:v>
      </x:c>
      <x:c r="G166" s="14" t="str">
        <x:v>Status rejected, bài không hiện công khai</x:v>
      </x:c>
      <x:c r="H166" s="14" t="str">
        <x:v>P0 Critical</x:v>
      </x:c>
      <x:c r="I166" s="14" t="str">
        <x:v>Functional</x:v>
      </x:c>
      <x:c r="J166" s="14" t="str"/>
      <x:c r="K166" s="14" t="str">
        <x:v>Not Tested</x:v>
      </x:c>
      <x:c r="L166" s="14" t="str"/>
      <x:c r="M166" s="14" t="str"/>
      <x:c r="N166" s="14" t="str"/>
    </x:row>
    <x:row r="167">
      <x:c r="A167" s="14" t="str">
        <x:v>EX-166</x:v>
      </x:c>
      <x:c r="B167" s="14" t="str">
        <x:v>Admin Dashboard / Post Management</x:v>
      </x:c>
      <x:c r="C167" s="14" t="str">
        <x:v>/admin, /admin/quan-ly-bai-viet</x:v>
      </x:c>
      <x:c r="D167" s="14" t="str">
        <x:v>Xóa bài</x:v>
      </x:c>
      <x:c r="E167" s="14" t="str">
        <x:v>Có bài</x:v>
      </x:c>
      <x:c r="F167" s="14" t="str">
        <x:v>Bấm Xóa</x:v>
      </x:c>
      <x:c r="G167" s="14" t="str">
        <x:v>Có confirm, xóa thành công, UI cập nhật</x:v>
      </x:c>
      <x:c r="H167" s="14" t="str">
        <x:v>P1 High</x:v>
      </x:c>
      <x:c r="I167" s="14" t="str">
        <x:v>Functional</x:v>
      </x:c>
      <x:c r="J167" s="14" t="str"/>
      <x:c r="K167" s="14" t="str">
        <x:v>Not Tested</x:v>
      </x:c>
      <x:c r="L167" s="14" t="str"/>
      <x:c r="M167" s="14" t="str"/>
      <x:c r="N167" s="14" t="str"/>
    </x:row>
    <x:row r="168">
      <x:c r="A168" s="14" t="str">
        <x:v>EX-167</x:v>
      </x:c>
      <x:c r="B168" s="14" t="str">
        <x:v>Admin Dashboard / Post Management</x:v>
      </x:c>
      <x:c r="C168" s="14" t="str">
        <x:v>/admin, /admin/quan-ly-bai-viet</x:v>
      </x:c>
      <x:c r="D168" s="14" t="str">
        <x:v>Hủy confirm xóa</x:v>
      </x:c>
      <x:c r="E168" s="14" t="str">
        <x:v>Bấm Xóa</x:v>
      </x:c>
      <x:c r="F168" s="14" t="str">
        <x:v>Chọn Hủy</x:v>
      </x:c>
      <x:c r="G168" s="14" t="str">
        <x:v>Bài không bị xóa</x:v>
      </x:c>
      <x:c r="H168" s="14" t="str">
        <x:v>P1 High</x:v>
      </x:c>
      <x:c r="I168" s="14" t="str">
        <x:v>Functional</x:v>
      </x:c>
      <x:c r="J168" s="14" t="str"/>
      <x:c r="K168" s="14" t="str">
        <x:v>Not Tested</x:v>
      </x:c>
      <x:c r="L168" s="14" t="str"/>
      <x:c r="M168" s="14" t="str"/>
      <x:c r="N168" s="14" t="str"/>
    </x:row>
    <x:row r="169">
      <x:c r="A169" s="14" t="str">
        <x:v>EX-168</x:v>
      </x:c>
      <x:c r="B169" s="14" t="str">
        <x:v>Admin Dashboard / Post Management</x:v>
      </x:c>
      <x:c r="C169" s="14" t="str">
        <x:v>/admin, /admin/quan-ly-bai-viet</x:v>
      </x:c>
      <x:c r="D169" s="14" t="str">
        <x:v>Xem chi tiết từ admin</x:v>
      </x:c>
      <x:c r="E169" s="14" t="str">
        <x:v>Ở danh sách admin</x:v>
      </x:c>
      <x:c r="F169" s="14" t="str">
        <x:v>Bấm Xem</x:v>
      </x:c>
      <x:c r="G169" s="14" t="str">
        <x:v>Mở đúng bài hoặc modal preview</x:v>
      </x:c>
      <x:c r="H169" s="14" t="str">
        <x:v>P2 Medium</x:v>
      </x:c>
      <x:c r="I169" s="14" t="str">
        <x:v>Route</x:v>
      </x:c>
      <x:c r="J169" s="14" t="str"/>
      <x:c r="K169" s="14" t="str">
        <x:v>Not Tested</x:v>
      </x:c>
      <x:c r="L169" s="14" t="str"/>
      <x:c r="M169" s="14" t="str"/>
      <x:c r="N169" s="14" t="str"/>
    </x:row>
    <x:row r="170">
      <x:c r="A170" s="14" t="str">
        <x:v>EX-169</x:v>
      </x:c>
      <x:c r="B170" s="14" t="str">
        <x:v>Admin Dashboard / Post Management</x:v>
      </x:c>
      <x:c r="C170" s="14" t="str">
        <x:v>/admin, /admin/quan-ly-bai-viet</x:v>
      </x:c>
      <x:c r="D170" s="14" t="str">
        <x:v>Lọc trạng thái admin</x:v>
      </x:c>
      <x:c r="E170" s="14" t="str">
        <x:v>Có nhiều status</x:v>
      </x:c>
      <x:c r="F170" s="14" t="str">
        <x:v>Chọn pending/approved/rejected</x:v>
      </x:c>
      <x:c r="G170" s="14" t="str">
        <x:v>List lọc đúng</x:v>
      </x:c>
      <x:c r="H170" s="14" t="str">
        <x:v>P2 Medium</x:v>
      </x:c>
      <x:c r="I170" s="14" t="str">
        <x:v>Functional</x:v>
      </x:c>
      <x:c r="J170" s="14" t="str"/>
      <x:c r="K170" s="14" t="str">
        <x:v>Not Tested</x:v>
      </x:c>
      <x:c r="L170" s="14" t="str"/>
      <x:c r="M170" s="14" t="str"/>
      <x:c r="N170" s="14" t="str"/>
    </x:row>
    <x:row r="171">
      <x:c r="A171" s="14" t="str">
        <x:v>EX-170</x:v>
      </x:c>
      <x:c r="B171" s="14" t="str">
        <x:v>Admin Dashboard / Post Management</x:v>
      </x:c>
      <x:c r="C171" s="14" t="str">
        <x:v>/admin, /admin/quan-ly-bai-viet</x:v>
      </x:c>
      <x:c r="D171" s="14" t="str">
        <x:v>Search admin nếu còn hiện</x:v>
      </x:c>
      <x:c r="E171" s="14" t="str">
        <x:v>Ở admin có ô search</x:v>
      </x:c>
      <x:c r="F171" s="14" t="str">
        <x:v>Nhập keyword</x:v>
      </x:c>
      <x:c r="G171" s="14" t="str">
        <x:v>Search chạy đúng; nếu chưa làm thì bỏ khỏi UI</x:v>
      </x:c>
      <x:c r="H171" s="14" t="str">
        <x:v>P1 High</x:v>
      </x:c>
      <x:c r="I171" s="14" t="str">
        <x:v>Scope Check</x:v>
      </x:c>
      <x:c r="J171" s="14" t="str"/>
      <x:c r="K171" s="14" t="str">
        <x:v>Not Tested</x:v>
      </x:c>
      <x:c r="L171" s="14" t="str"/>
      <x:c r="M171" s="14" t="str"/>
      <x:c r="N171" s="14" t="str"/>
    </x:row>
    <x:row r="172">
      <x:c r="A172" s="14" t="str">
        <x:v>EX-171</x:v>
      </x:c>
      <x:c r="B172" s="14" t="str">
        <x:v>Admin Dashboard / Post Management</x:v>
      </x:c>
      <x:c r="C172" s="14" t="str">
        <x:v>/admin, /admin/quan-ly-bai-viet</x:v>
      </x:c>
      <x:c r="D172" s="14" t="str">
        <x:v>Admin xử lý lỗi API</x:v>
      </x:c>
      <x:c r="E172" s="14" t="str">
        <x:v>Giả lập lỗi data</x:v>
      </x:c>
      <x:c r="F172" s="14" t="str">
        <x:v>Load admin</x:v>
      </x:c>
      <x:c r="G172" s="14" t="str">
        <x:v>Hiện lỗi có hướng dẫn, không trắng trang</x:v>
      </x:c>
      <x:c r="H172" s="14" t="str">
        <x:v>P1 High</x:v>
      </x:c>
      <x:c r="I172" s="14" t="str">
        <x:v>Error State</x:v>
      </x:c>
      <x:c r="J172" s="14" t="str"/>
      <x:c r="K172" s="14" t="str">
        <x:v>Not Tested</x:v>
      </x:c>
      <x:c r="L172" s="14" t="str"/>
      <x:c r="M172" s="14" t="str"/>
      <x:c r="N172" s="14" t="str"/>
    </x:row>
    <x:row r="173">
      <x:c r="A173" s="14" t="str">
        <x:v>EX-172</x:v>
      </x:c>
      <x:c r="B173" s="14" t="str">
        <x:v>Admin Dashboard / Post Management</x:v>
      </x:c>
      <x:c r="C173" s="14" t="str">
        <x:v>/admin, /admin/quan-ly-bai-viet</x:v>
      </x:c>
      <x:c r="D173" s="14" t="str">
        <x:v>Admin mobile/sidebar</x:v>
      </x:c>
      <x:c r="E173" s="14" t="str">
        <x:v>Màn hình nhỏ</x:v>
      </x:c>
      <x:c r="F173" s="14" t="str">
        <x:v>Mở admin</x:v>
      </x:c>
      <x:c r="G173" s="14" t="str">
        <x:v>Sidebar không che nội dung; table có scroll hợp lý</x:v>
      </x:c>
      <x:c r="H173" s="14" t="str">
        <x:v>P2 Medium</x:v>
      </x:c>
      <x:c r="I173" s="14" t="str">
        <x:v>Responsive</x:v>
      </x:c>
      <x:c r="J173" s="14" t="str"/>
      <x:c r="K173" s="14" t="str">
        <x:v>Not Tested</x:v>
      </x:c>
      <x:c r="L173" s="14" t="str"/>
      <x:c r="M173" s="14" t="str"/>
      <x:c r="N173" s="14" t="str"/>
    </x:row>
    <x:row r="174">
      <x:c r="A174" s="14" t="str">
        <x:v>EX-173</x:v>
      </x:c>
      <x:c r="B174" s="14" t="str">
        <x:v>Admin Topbar Notifications / Help</x:v>
      </x:c>
      <x:c r="C174" s="14" t="str">
        <x:v>/admin</x:v>
      </x:c>
      <x:c r="D174" s="14" t="str">
        <x:v>Chuông thông báo click</x:v>
      </x:c>
      <x:c r="E174" s="14" t="str">
        <x:v>Admin login</x:v>
      </x:c>
      <x:c r="F174" s="14" t="str">
        <x:v>Bấm icon chuông</x:v>
      </x:c>
      <x:c r="G174" s="14" t="str">
        <x:v>Mở dropdown/thông báo, không là nút chết</x:v>
      </x:c>
      <x:c r="H174" s="14" t="str">
        <x:v>P1 High</x:v>
      </x:c>
      <x:c r="I174" s="14" t="str">
        <x:v>Functional</x:v>
      </x:c>
      <x:c r="J174" s="14" t="str"/>
      <x:c r="K174" s="14" t="str">
        <x:v>Not Tested</x:v>
      </x:c>
      <x:c r="L174" s="14" t="str"/>
      <x:c r="M174" s="14" t="str"/>
      <x:c r="N174" s="14" t="str"/>
    </x:row>
    <x:row r="175">
      <x:c r="A175" s="14" t="str">
        <x:v>EX-174</x:v>
      </x:c>
      <x:c r="B175" s="14" t="str">
        <x:v>Admin Topbar Notifications / Help</x:v>
      </x:c>
      <x:c r="C175" s="14" t="str">
        <x:v>/admin</x:v>
      </x:c>
      <x:c r="D175" s="14" t="str">
        <x:v>Chuông không có thông báo</x:v>
      </x:c>
      <x:c r="E175" s="14" t="str">
        <x:v>Admin login không có pending</x:v>
      </x:c>
      <x:c r="F175" s="14" t="str">
        <x:v>Bấm chuông</x:v>
      </x:c>
      <x:c r="G175" s="14" t="str">
        <x:v>Hiện 'Chưa có thông báo' hoặc trạng thái rỗng</x:v>
      </x:c>
      <x:c r="H175" s="14" t="str">
        <x:v>P2 Medium</x:v>
      </x:c>
      <x:c r="I175" s="14" t="str">
        <x:v>Empty State</x:v>
      </x:c>
      <x:c r="J175" s="14" t="str"/>
      <x:c r="K175" s="14" t="str">
        <x:v>Not Tested</x:v>
      </x:c>
      <x:c r="L175" s="14" t="str"/>
      <x:c r="M175" s="14" t="str"/>
      <x:c r="N175" s="14" t="str"/>
    </x:row>
    <x:row r="176">
      <x:c r="A176" s="14" t="str">
        <x:v>EX-175</x:v>
      </x:c>
      <x:c r="B176" s="14" t="str">
        <x:v>Admin Topbar Notifications / Help</x:v>
      </x:c>
      <x:c r="C176" s="14" t="str">
        <x:v>/admin</x:v>
      </x:c>
      <x:c r="D176" s="14" t="str">
        <x:v>Chuông có pending</x:v>
      </x:c>
      <x:c r="E176" s="14" t="str">
        <x:v>Có bài chờ duyệt</x:v>
      </x:c>
      <x:c r="F176" s="14" t="str">
        <x:v>Bấm chuông</x:v>
      </x:c>
      <x:c r="G176" s="14" t="str">
        <x:v>Hiện item pending hoặc số badge</x:v>
      </x:c>
      <x:c r="H176" s="14" t="str">
        <x:v>P2 Medium</x:v>
      </x:c>
      <x:c r="I176" s="14" t="str">
        <x:v>Functional</x:v>
      </x:c>
      <x:c r="J176" s="14" t="str"/>
      <x:c r="K176" s="14" t="str">
        <x:v>Not Tested</x:v>
      </x:c>
      <x:c r="L176" s="14" t="str"/>
      <x:c r="M176" s="14" t="str"/>
      <x:c r="N176" s="14" t="str"/>
    </x:row>
    <x:row r="177">
      <x:c r="A177" s="14" t="str">
        <x:v>EX-176</x:v>
      </x:c>
      <x:c r="B177" s="14" t="str">
        <x:v>Admin Topbar Notifications / Help</x:v>
      </x:c>
      <x:c r="C177" s="14" t="str">
        <x:v>/admin</x:v>
      </x:c>
      <x:c r="D177" s="14" t="str">
        <x:v>Click item thông báo</x:v>
      </x:c>
      <x:c r="E177" s="14" t="str">
        <x:v>Dropdown chuông có item</x:v>
      </x:c>
      <x:c r="F177" s="14" t="str">
        <x:v>Bấm item</x:v>
      </x:c>
      <x:c r="G177" s="14" t="str">
        <x:v>Đi tới bài/trang cần xử lý</x:v>
      </x:c>
      <x:c r="H177" s="14" t="str">
        <x:v>P2 Medium</x:v>
      </x:c>
      <x:c r="I177" s="14" t="str">
        <x:v>Route</x:v>
      </x:c>
      <x:c r="J177" s="14" t="str"/>
      <x:c r="K177" s="14" t="str">
        <x:v>Not Tested</x:v>
      </x:c>
      <x:c r="L177" s="14" t="str"/>
      <x:c r="M177" s="14" t="str"/>
      <x:c r="N177" s="14" t="str"/>
    </x:row>
    <x:row r="178">
      <x:c r="A178" s="14" t="str">
        <x:v>EX-177</x:v>
      </x:c>
      <x:c r="B178" s="14" t="str">
        <x:v>Admin Topbar Notifications / Help</x:v>
      </x:c>
      <x:c r="C178" s="14" t="str">
        <x:v>/admin</x:v>
      </x:c>
      <x:c r="D178" s="14" t="str">
        <x:v>Đóng dropdown chuông</x:v>
      </x:c>
      <x:c r="E178" s="14" t="str">
        <x:v>Dropdown đang mở</x:v>
      </x:c>
      <x:c r="F178" s="14" t="str">
        <x:v>Click ra ngoài</x:v>
      </x:c>
      <x:c r="G178" s="14" t="str">
        <x:v>Dropdown đóng</x:v>
      </x:c>
      <x:c r="H178" s="14" t="str">
        <x:v>P3 Low</x:v>
      </x:c>
      <x:c r="I178" s="14" t="str">
        <x:v>UX</x:v>
      </x:c>
      <x:c r="J178" s="14" t="str"/>
      <x:c r="K178" s="14" t="str">
        <x:v>Not Tested</x:v>
      </x:c>
      <x:c r="L178" s="14" t="str"/>
      <x:c r="M178" s="14" t="str"/>
      <x:c r="N178" s="14" t="str"/>
    </x:row>
    <x:row r="179">
      <x:c r="A179" s="14" t="str">
        <x:v>EX-178</x:v>
      </x:c>
      <x:c r="B179" s="14" t="str">
        <x:v>Admin Topbar Notifications / Help</x:v>
      </x:c>
      <x:c r="C179" s="14" t="str">
        <x:v>/admin</x:v>
      </x:c>
      <x:c r="D179" s="14" t="str">
        <x:v>Dấu hỏi admin click</x:v>
      </x:c>
      <x:c r="E179" s="14" t="str">
        <x:v>Admin login</x:v>
      </x:c>
      <x:c r="F179" s="14" t="str">
        <x:v>Bấm icon ?</x:v>
      </x:c>
      <x:c r="G179" s="14" t="str">
        <x:v>Mở hướng dẫn/help, không là nút chết</x:v>
      </x:c>
      <x:c r="H179" s="14" t="str">
        <x:v>P1 High</x:v>
      </x:c>
      <x:c r="I179" s="14" t="str">
        <x:v>Functional</x:v>
      </x:c>
      <x:c r="J179" s="14" t="str"/>
      <x:c r="K179" s="14" t="str">
        <x:v>Not Tested</x:v>
      </x:c>
      <x:c r="L179" s="14" t="str"/>
      <x:c r="M179" s="14" t="str"/>
      <x:c r="N179" s="14" t="str"/>
    </x:row>
    <x:row r="180">
      <x:c r="A180" s="14" t="str">
        <x:v>EX-179</x:v>
      </x:c>
      <x:c r="B180" s="14" t="str">
        <x:v>Admin Topbar Notifications / Help</x:v>
      </x:c>
      <x:c r="C180" s="14" t="str">
        <x:v>/admin</x:v>
      </x:c>
      <x:c r="D180" s="14" t="str">
        <x:v>Nội dung help rõ</x:v>
      </x:c>
      <x:c r="E180" s="14" t="str">
        <x:v>Mở help</x:v>
      </x:c>
      <x:c r="F180" s="14" t="str">
        <x:v>Đọc nội dung</x:v>
      </x:c>
      <x:c r="G180" s="14" t="str">
        <x:v>Có hướng dẫn ngắn: duyệt bài, xóa bài, quản lý comment nếu có</x:v>
      </x:c>
      <x:c r="H180" s="14" t="str">
        <x:v>P3 Low</x:v>
      </x:c>
      <x:c r="I180" s="14" t="str">
        <x:v>Content</x:v>
      </x:c>
      <x:c r="J180" s="14" t="str"/>
      <x:c r="K180" s="14" t="str">
        <x:v>Not Tested</x:v>
      </x:c>
      <x:c r="L180" s="14" t="str"/>
      <x:c r="M180" s="14" t="str"/>
      <x:c r="N180" s="14" t="str"/>
    </x:row>
    <x:row r="181">
      <x:c r="A181" s="14" t="str">
        <x:v>EX-180</x:v>
      </x:c>
      <x:c r="B181" s="14" t="str">
        <x:v>Admin Topbar Notifications / Help</x:v>
      </x:c>
      <x:c r="C181" s="14" t="str">
        <x:v>/admin</x:v>
      </x:c>
      <x:c r="D181" s="14" t="str">
        <x:v>Đóng help</x:v>
      </x:c>
      <x:c r="E181" s="14" t="str">
        <x:v>Help đang mở</x:v>
      </x:c>
      <x:c r="F181" s="14" t="str">
        <x:v>Bấm đóng/click ngoài</x:v>
      </x:c>
      <x:c r="G181" s="14" t="str">
        <x:v>Đóng được</x:v>
      </x:c>
      <x:c r="H181" s="14" t="str">
        <x:v>P3 Low</x:v>
      </x:c>
      <x:c r="I181" s="14" t="str">
        <x:v>UX</x:v>
      </x:c>
      <x:c r="J181" s="14" t="str"/>
      <x:c r="K181" s="14" t="str">
        <x:v>Not Tested</x:v>
      </x:c>
      <x:c r="L181" s="14" t="str"/>
      <x:c r="M181" s="14" t="str"/>
      <x:c r="N181" s="14" t="str"/>
    </x:row>
    <x:row r="182">
      <x:c r="A182" s="14" t="str">
        <x:v>EX-181</x:v>
      </x:c>
      <x:c r="B182" s="14" t="str">
        <x:v>Admin Topbar Notifications / Help</x:v>
      </x:c>
      <x:c r="C182" s="14" t="str">
        <x:v>/admin</x:v>
      </x:c>
      <x:c r="D182" s="14" t="str">
        <x:v>Icon admin hover/click style</x:v>
      </x:c>
      <x:c r="E182" s="14" t="str">
        <x:v>Admin login</x:v>
      </x:c>
      <x:c r="F182" s="14" t="str">
        <x:v>Hover/click chuông/help</x:v>
      </x:c>
      <x:c r="G182" s="14" t="str">
        <x:v>Không bị trắng, mất chữ/icon</x:v>
      </x:c>
      <x:c r="H182" s="14" t="str">
        <x:v>P2 Medium</x:v>
      </x:c>
      <x:c r="I182" s="14" t="str">
        <x:v>UI/UX</x:v>
      </x:c>
      <x:c r="J182" s="14" t="str"/>
      <x:c r="K182" s="14" t="str">
        <x:v>Not Tested</x:v>
      </x:c>
      <x:c r="L182" s="14" t="str"/>
      <x:c r="M182" s="14" t="str"/>
      <x:c r="N182" s="14" t="str"/>
    </x:row>
    <x:row r="183">
      <x:c r="A183" s="14" t="str">
        <x:v>EX-182</x:v>
      </x:c>
      <x:c r="B183" s="14" t="str">
        <x:v>Admin Topbar Notifications / Help</x:v>
      </x:c>
      <x:c r="C183" s="14" t="str">
        <x:v>/admin</x:v>
      </x:c>
      <x:c r="D183" s="14" t="str">
        <x:v>Admin topbar avatar</x:v>
      </x:c>
      <x:c r="E183" s="14" t="str">
        <x:v>Admin login</x:v>
      </x:c>
      <x:c r="F183" s="14" t="str">
        <x:v>Bấm avatar admin nếu có</x:v>
      </x:c>
      <x:c r="G183" s="14" t="str">
        <x:v>Mở menu hoặc logout; không chết</x:v>
      </x:c>
      <x:c r="H183" s="14" t="str">
        <x:v>P2 Medium</x:v>
      </x:c>
      <x:c r="I183" s="14" t="str">
        <x:v>Functional</x:v>
      </x:c>
      <x:c r="J183" s="14" t="str"/>
      <x:c r="K183" s="14" t="str">
        <x:v>Not Tested</x:v>
      </x:c>
      <x:c r="L183" s="14" t="str"/>
      <x:c r="M183" s="14" t="str"/>
      <x:c r="N183" s="14" t="str"/>
    </x:row>
    <x:row r="184">
      <x:c r="A184" s="14" t="str">
        <x:v>EX-183</x:v>
      </x:c>
      <x:c r="B184" s="14" t="str">
        <x:v>UI/UX Small Defects &amp; Accessibility</x:v>
      </x:c>
      <x:c r="C184" s="14" t="str">
        <x:v>All routes</x:v>
      </x:c>
      <x:c r="D184" s="14" t="str">
        <x:v>Nút chính đồng bộ màu</x:v>
      </x:c>
      <x:c r="E184" s="14" t="str">
        <x:v>Duyệt toàn website</x:v>
      </x:c>
      <x:c r="F184" s="14" t="str">
        <x:v>So sánh các nút primary</x:v>
      </x:c>
      <x:c r="G184" s="14" t="str">
        <x:v>Màu/kích thước/bo góc đồng bộ, không lạc style</x:v>
      </x:c>
      <x:c r="H184" s="14" t="str">
        <x:v>P3 Low</x:v>
      </x:c>
      <x:c r="I184" s="14" t="str">
        <x:v>UI/UX</x:v>
      </x:c>
      <x:c r="J184" s="14" t="str"/>
      <x:c r="K184" s="14" t="str">
        <x:v>Not Tested</x:v>
      </x:c>
      <x:c r="L184" s="14" t="str"/>
      <x:c r="M184" s="14" t="str"/>
      <x:c r="N184" s="14" t="str"/>
    </x:row>
    <x:row r="185">
      <x:c r="A185" s="14" t="str">
        <x:v>EX-184</x:v>
      </x:c>
      <x:c r="B185" s="14" t="str">
        <x:v>UI/UX Small Defects &amp; Accessibility</x:v>
      </x:c>
      <x:c r="C185" s="14" t="str">
        <x:v>All routes</x:v>
      </x:c>
      <x:c r="D185" s="14" t="str">
        <x:v>Nút hover không mất chữ</x:v>
      </x:c>
      <x:c r="E185" s="14" t="str">
        <x:v>Duyệt toàn website</x:v>
      </x:c>
      <x:c r="F185" s="14" t="str">
        <x:v>Hover các nút chính/phụ</x:v>
      </x:c>
      <x:c r="G185" s="14" t="str">
        <x:v>Không bị trắng chữ/nền làm mất đọc</x:v>
      </x:c>
      <x:c r="H185" s="14" t="str">
        <x:v>P2 Medium</x:v>
      </x:c>
      <x:c r="I185" s="14" t="str">
        <x:v>UI/UX</x:v>
      </x:c>
      <x:c r="J185" s="14" t="str"/>
      <x:c r="K185" s="14" t="str">
        <x:v>Not Tested</x:v>
      </x:c>
      <x:c r="L185" s="14" t="str"/>
      <x:c r="M185" s="14" t="str"/>
      <x:c r="N185" s="14" t="str"/>
    </x:row>
    <x:row r="186">
      <x:c r="A186" s="14" t="str">
        <x:v>EX-185</x:v>
      </x:c>
      <x:c r="B186" s="14" t="str">
        <x:v>UI/UX Small Defects &amp; Accessibility</x:v>
      </x:c>
      <x:c r="C186" s="14" t="str">
        <x:v>All routes</x:v>
      </x:c>
      <x:c r="D186" s="14" t="str">
        <x:v>Nút đang loading</x:v>
      </x:c>
      <x:c r="E186" s="14" t="str">
        <x:v>Submit form/login/post</x:v>
      </x:c>
      <x:c r="F186" s="14" t="str">
        <x:v>Bấm submit</x:v>
      </x:c>
      <x:c r="G186" s="14" t="str">
        <x:v>Có trạng thái loading/disabled, không bấm lặp</x:v>
      </x:c>
      <x:c r="H186" s="14" t="str">
        <x:v>P2 Medium</x:v>
      </x:c>
      <x:c r="I186" s="14" t="str">
        <x:v>UX</x:v>
      </x:c>
      <x:c r="J186" s="14" t="str"/>
      <x:c r="K186" s="14" t="str">
        <x:v>Not Tested</x:v>
      </x:c>
      <x:c r="L186" s="14" t="str"/>
      <x:c r="M186" s="14" t="str"/>
      <x:c r="N186" s="14" t="str"/>
    </x:row>
    <x:row r="187">
      <x:c r="A187" s="14" t="str">
        <x:v>EX-186</x:v>
      </x:c>
      <x:c r="B187" s="14" t="str">
        <x:v>UI/UX Small Defects &amp; Accessibility</x:v>
      </x:c>
      <x:c r="C187" s="14" t="str">
        <x:v>All routes</x:v>
      </x:c>
      <x:c r="D187" s="14" t="str">
        <x:v>Nút disabled nhìn rõ</x:v>
      </x:c>
      <x:c r="E187" s="14" t="str">
        <x:v>Form chưa đủ dữ liệu</x:v>
      </x:c>
      <x:c r="F187" s="14" t="str">
        <x:v>Quan sát nút disabled nếu có</x:v>
      </x:c>
      <x:c r="G187" s="14" t="str">
        <x:v>Trông disabled rõ, không gây hiểu nhầm bấm được</x:v>
      </x:c>
      <x:c r="H187" s="14" t="str">
        <x:v>P3 Low</x:v>
      </x:c>
      <x:c r="I187" s="14" t="str">
        <x:v>UI/UX</x:v>
      </x:c>
      <x:c r="J187" s="14" t="str"/>
      <x:c r="K187" s="14" t="str">
        <x:v>Not Tested</x:v>
      </x:c>
      <x:c r="L187" s="14" t="str"/>
      <x:c r="M187" s="14" t="str"/>
      <x:c r="N187" s="14" t="str"/>
    </x:row>
    <x:row r="188">
      <x:c r="A188" s="14" t="str">
        <x:v>EX-187</x:v>
      </x:c>
      <x:c r="B188" s="14" t="str">
        <x:v>UI/UX Small Defects &amp; Accessibility</x:v>
      </x:c>
      <x:c r="C188" s="14" t="str">
        <x:v>All routes</x:v>
      </x:c>
      <x:c r="D188" s="14" t="str">
        <x:v>Icon không có chức năng</x:v>
      </x:c>
      <x:c r="E188" s="14" t="str">
        <x:v>Duyệt toàn web</x:v>
      </x:c>
      <x:c r="F188" s="14" t="str">
        <x:v>Bấm tất cả icon nhìn như button</x:v>
      </x:c>
      <x:c r="G188" s="14" t="str">
        <x:v>Không có icon chết; nếu chưa có chức năng thì ẩn hoặc tooltip</x:v>
      </x:c>
      <x:c r="H188" s="14" t="str">
        <x:v>P1 High</x:v>
      </x:c>
      <x:c r="I188" s="14" t="str">
        <x:v>Scope Check</x:v>
      </x:c>
      <x:c r="J188" s="14" t="str"/>
      <x:c r="K188" s="14" t="str">
        <x:v>Not Tested</x:v>
      </x:c>
      <x:c r="L188" s="14" t="str"/>
      <x:c r="M188" s="14" t="str"/>
      <x:c r="N188" s="14" t="str"/>
    </x:row>
    <x:row r="189">
      <x:c r="A189" s="14" t="str">
        <x:v>EX-188</x:v>
      </x:c>
      <x:c r="B189" s="14" t="str">
        <x:v>UI/UX Small Defects &amp; Accessibility</x:v>
      </x:c>
      <x:c r="C189" s="14" t="str">
        <x:v>All routes</x:v>
      </x:c>
      <x:c r="D189" s="14" t="str">
        <x:v>Typography đều</x:v>
      </x:c>
      <x:c r="E189" s="14" t="str">
        <x:v>Duyệt toàn web</x:v>
      </x:c>
      <x:c r="F189" s="14" t="str">
        <x:v>So title/body/card</x:v>
      </x:c>
      <x:c r="G189" s="14" t="str">
        <x:v>Font size/weight hợp lý, không chỗ quá to/quá nhỏ</x:v>
      </x:c>
      <x:c r="H189" s="14" t="str">
        <x:v>P3 Low</x:v>
      </x:c>
      <x:c r="I189" s="14" t="str">
        <x:v>UI/UX</x:v>
      </x:c>
      <x:c r="J189" s="14" t="str"/>
      <x:c r="K189" s="14" t="str">
        <x:v>Not Tested</x:v>
      </x:c>
      <x:c r="L189" s="14" t="str"/>
      <x:c r="M189" s="14" t="str"/>
      <x:c r="N189" s="14" t="str"/>
    </x:row>
    <x:row r="190">
      <x:c r="A190" s="14" t="str">
        <x:v>EX-189</x:v>
      </x:c>
      <x:c r="B190" s="14" t="str">
        <x:v>UI/UX Small Defects &amp; Accessibility</x:v>
      </x:c>
      <x:c r="C190" s="14" t="str">
        <x:v>All routes</x:v>
      </x:c>
      <x:c r="D190" s="14" t="str">
        <x:v>Khoảng cách card</x:v>
      </x:c>
      <x:c r="E190" s="14" t="str">
        <x:v>Duyệt list cards</x:v>
      </x:c>
      <x:c r="F190" s="14" t="str">
        <x:v>Quan sát spacing</x:v>
      </x:c>
      <x:c r="G190" s="14" t="str">
        <x:v>Khoảng cách đều, không dính sát, không quá thưa</x:v>
      </x:c>
      <x:c r="H190" s="14" t="str">
        <x:v>P3 Low</x:v>
      </x:c>
      <x:c r="I190" s="14" t="str">
        <x:v>UI/UX</x:v>
      </x:c>
      <x:c r="J190" s="14" t="str"/>
      <x:c r="K190" s="14" t="str">
        <x:v>Not Tested</x:v>
      </x:c>
      <x:c r="L190" s="14" t="str"/>
      <x:c r="M190" s="14" t="str"/>
      <x:c r="N190" s="14" t="str"/>
    </x:row>
    <x:row r="191">
      <x:c r="A191" s="14" t="str">
        <x:v>EX-190</x:v>
      </x:c>
      <x:c r="B191" s="14" t="str">
        <x:v>UI/UX Small Defects &amp; Accessibility</x:v>
      </x:c>
      <x:c r="C191" s="14" t="str">
        <x:v>All routes</x:v>
      </x:c>
      <x:c r="D191" s="14" t="str">
        <x:v>Ảnh card tỷ lệ nhất quán</x:v>
      </x:c>
      <x:c r="E191" s="14" t="str">
        <x:v>Duyệt card bài viết</x:v>
      </x:c>
      <x:c r="F191" s="14" t="str">
        <x:v>So ảnh các card</x:v>
      </x:c>
      <x:c r="G191" s="14" t="str">
        <x:v>Ảnh cùng tỷ lệ, object-fit đẹp</x:v>
      </x:c>
      <x:c r="H191" s="14" t="str">
        <x:v>P3 Low</x:v>
      </x:c>
      <x:c r="I191" s="14" t="str">
        <x:v>UI/UX</x:v>
      </x:c>
      <x:c r="J191" s="14" t="str"/>
      <x:c r="K191" s="14" t="str">
        <x:v>Not Tested</x:v>
      </x:c>
      <x:c r="L191" s="14" t="str"/>
      <x:c r="M191" s="14" t="str"/>
      <x:c r="N191" s="14" t="str"/>
    </x:row>
    <x:row r="192">
      <x:c r="A192" s="14" t="str">
        <x:v>EX-191</x:v>
      </x:c>
      <x:c r="B192" s="14" t="str">
        <x:v>UI/UX Small Defects &amp; Accessibility</x:v>
      </x:c>
      <x:c r="C192" s="14" t="str">
        <x:v>All routes</x:v>
      </x:c>
      <x:c r="D192" s="14" t="str">
        <x:v>Text clamp</x:v>
      </x:c>
      <x:c r="E192" s="14" t="str">
        <x:v>Có title/mô tả dài</x:v>
      </x:c>
      <x:c r="F192" s="14" t="str">
        <x:v>Quan sát card</x:v>
      </x:c>
      <x:c r="G192" s="14" t="str">
        <x:v>Có line-clamp/wrap, không làm card cao lệch quá</x:v>
      </x:c>
      <x:c r="H192" s="14" t="str">
        <x:v>P2 Medium</x:v>
      </x:c>
      <x:c r="I192" s="14" t="str">
        <x:v>UI/UX</x:v>
      </x:c>
      <x:c r="J192" s="14" t="str"/>
      <x:c r="K192" s="14" t="str">
        <x:v>Not Tested</x:v>
      </x:c>
      <x:c r="L192" s="14" t="str"/>
      <x:c r="M192" s="14" t="str"/>
      <x:c r="N192" s="14" t="str"/>
    </x:row>
    <x:row r="193">
      <x:c r="A193" s="14" t="str">
        <x:v>EX-192</x:v>
      </x:c>
      <x:c r="B193" s="14" t="str">
        <x:v>UI/UX Small Defects &amp; Accessibility</x:v>
      </x:c>
      <x:c r="C193" s="14" t="str">
        <x:v>All routes</x:v>
      </x:c>
      <x:c r="D193" s="14" t="str">
        <x:v>Empty state có CTA</x:v>
      </x:c>
      <x:c r="E193" s="14" t="str">
        <x:v>Danh sách rỗng</x:v>
      </x:c>
      <x:c r="F193" s="14" t="str">
        <x:v>Quan sát trạng thái rỗng</x:v>
      </x:c>
      <x:c r="G193" s="14" t="str">
        <x:v>Có thông báo thân thiện + CTA hợp lý</x:v>
      </x:c>
      <x:c r="H193" s="14" t="str">
        <x:v>P3 Low</x:v>
      </x:c>
      <x:c r="I193" s="14" t="str">
        <x:v>UX</x:v>
      </x:c>
      <x:c r="J193" s="14" t="str"/>
      <x:c r="K193" s="14" t="str">
        <x:v>Not Tested</x:v>
      </x:c>
      <x:c r="L193" s="14" t="str"/>
      <x:c r="M193" s="14" t="str"/>
      <x:c r="N193" s="14" t="str"/>
    </x:row>
    <x:row r="194">
      <x:c r="A194" s="14" t="str">
        <x:v>EX-193</x:v>
      </x:c>
      <x:c r="B194" s="14" t="str">
        <x:v>UI/UX Small Defects &amp; Accessibility</x:v>
      </x:c>
      <x:c r="C194" s="14" t="str">
        <x:v>All routes</x:v>
      </x:c>
      <x:c r="D194" s="14" t="str">
        <x:v>Toast/thông báo thành công</x:v>
      </x:c>
      <x:c r="E194" s="14" t="str">
        <x:v>Thao tác login/post/save</x:v>
      </x:c>
      <x:c r="F194" s="14" t="str">
        <x:v>Quan sát sau thao tác</x:v>
      </x:c>
      <x:c r="G194" s="14" t="str">
        <x:v>Có feedback rõ thành công/thất bại</x:v>
      </x:c>
      <x:c r="H194" s="14" t="str">
        <x:v>P2 Medium</x:v>
      </x:c>
      <x:c r="I194" s="14" t="str">
        <x:v>UX</x:v>
      </x:c>
      <x:c r="J194" s="14" t="str"/>
      <x:c r="K194" s="14" t="str">
        <x:v>Not Tested</x:v>
      </x:c>
      <x:c r="L194" s="14" t="str"/>
      <x:c r="M194" s="14" t="str"/>
      <x:c r="N194" s="14" t="str"/>
    </x:row>
    <x:row r="195">
      <x:c r="A195" s="14" t="str">
        <x:v>EX-194</x:v>
      </x:c>
      <x:c r="B195" s="14" t="str">
        <x:v>UI/UX Small Defects &amp; Accessibility</x:v>
      </x:c>
      <x:c r="C195" s="14" t="str">
        <x:v>All routes</x:v>
      </x:c>
      <x:c r="D195" s="14" t="str">
        <x:v>Màu lỗi form</x:v>
      </x:c>
      <x:c r="E195" s="14" t="str">
        <x:v>Nhập sai form</x:v>
      </x:c>
      <x:c r="F195" s="14" t="str">
        <x:v>Quan sát message lỗi</x:v>
      </x:c>
      <x:c r="G195" s="14" t="str">
        <x:v>Màu/vị trí lỗi dễ thấy nhưng không chói</x:v>
      </x:c>
      <x:c r="H195" s="14" t="str">
        <x:v>P3 Low</x:v>
      </x:c>
      <x:c r="I195" s="14" t="str">
        <x:v>UI/UX</x:v>
      </x:c>
      <x:c r="J195" s="14" t="str"/>
      <x:c r="K195" s="14" t="str">
        <x:v>Not Tested</x:v>
      </x:c>
      <x:c r="L195" s="14" t="str"/>
      <x:c r="M195" s="14" t="str"/>
      <x:c r="N195" s="14" t="str"/>
    </x:row>
    <x:row r="196">
      <x:c r="A196" s="14" t="str">
        <x:v>EX-195</x:v>
      </x:c>
      <x:c r="B196" s="14" t="str">
        <x:v>UI/UX Small Defects &amp; Accessibility</x:v>
      </x:c>
      <x:c r="C196" s="14" t="str">
        <x:v>All routes</x:v>
      </x:c>
      <x:c r="D196" s="14" t="str">
        <x:v>Breadcrumb/quay lại</x:v>
      </x:c>
      <x:c r="E196" s="14" t="str">
        <x:v>Trang chi tiết/đăng bài</x:v>
      </x:c>
      <x:c r="F196" s="14" t="str">
        <x:v>Quan sát điều hướng</x:v>
      </x:c>
      <x:c r="G196" s="14" t="str">
        <x:v>Có cách quay lại rõ, giảm cảm giác bị chuyển trang khó chịu</x:v>
      </x:c>
      <x:c r="H196" s="14" t="str">
        <x:v>P2 Medium</x:v>
      </x:c>
      <x:c r="I196" s="14" t="str">
        <x:v>UX</x:v>
      </x:c>
      <x:c r="J196" s="14" t="str"/>
      <x:c r="K196" s="14" t="str">
        <x:v>Not Tested</x:v>
      </x:c>
      <x:c r="L196" s="14" t="str"/>
      <x:c r="M196" s="14" t="str"/>
      <x:c r="N196" s="14" t="str"/>
    </x:row>
    <x:row r="197">
      <x:c r="A197" s="14" t="str">
        <x:v>EX-196</x:v>
      </x:c>
      <x:c r="B197" s="14" t="str">
        <x:v>UI/UX Small Defects &amp; Accessibility</x:v>
      </x:c>
      <x:c r="C197" s="14" t="str">
        <x:v>All routes</x:v>
      </x:c>
      <x:c r="D197" s="14" t="str">
        <x:v>Không dùng dữ liệu placeholder lộ rõ</x:v>
      </x:c>
      <x:c r="E197" s="14" t="str">
        <x:v>Duyệt toàn web</x:v>
      </x:c>
      <x:c r="F197" s="14" t="str">
        <x:v>Tìm lorem/placeholder/test</x:v>
      </x:c>
      <x:c r="G197" s="14" t="str">
        <x:v>Không còn text demo lộ ra trên bản nộp</x:v>
      </x:c>
      <x:c r="H197" s="14" t="str">
        <x:v>P2 Medium</x:v>
      </x:c>
      <x:c r="I197" s="14" t="str">
        <x:v>Content</x:v>
      </x:c>
      <x:c r="J197" s="14" t="str"/>
      <x:c r="K197" s="14" t="str">
        <x:v>Not Tested</x:v>
      </x:c>
      <x:c r="L197" s="14" t="str"/>
      <x:c r="M197" s="14" t="str"/>
      <x:c r="N197" s="14" t="str"/>
    </x:row>
    <x:row r="198">
      <x:c r="A198" s="14" t="str">
        <x:v>EX-197</x:v>
      </x:c>
      <x:c r="B198" s="14" t="str">
        <x:v>UI/UX Small Defects &amp; Accessibility</x:v>
      </x:c>
      <x:c r="C198" s="14" t="str">
        <x:v>All routes</x:v>
      </x:c>
      <x:c r="D198" s="14" t="str">
        <x:v>Console error</x:v>
      </x:c>
      <x:c r="E198" s="14" t="str">
        <x:v>Mở DevTools Console</x:v>
      </x:c>
      <x:c r="F198" s="14" t="str">
        <x:v>Duyệt qua route chính</x:v>
      </x:c>
      <x:c r="G198" s="14" t="str">
        <x:v>Không có lỗi đỏ nghiêm trọng</x:v>
      </x:c>
      <x:c r="H198" s="14" t="str">
        <x:v>P1 High</x:v>
      </x:c>
      <x:c r="I198" s="14" t="str">
        <x:v>Quality</x:v>
      </x:c>
      <x:c r="J198" s="14" t="str"/>
      <x:c r="K198" s="14" t="str">
        <x:v>Not Tested</x:v>
      </x:c>
      <x:c r="L198" s="14" t="str"/>
      <x:c r="M198" s="14" t="str"/>
      <x:c r="N198" s="14" t="str"/>
    </x:row>
    <x:row r="199">
      <x:c r="A199" s="14" t="str">
        <x:v>EX-198</x:v>
      </x:c>
      <x:c r="B199" s="14" t="str">
        <x:v>UI/UX Small Defects &amp; Accessibility</x:v>
      </x:c>
      <x:c r="C199" s="14" t="str">
        <x:v>All routes</x:v>
      </x:c>
      <x:c r="D199" s="14" t="str">
        <x:v>Không tràn ngang toàn web</x:v>
      </x:c>
      <x:c r="E199" s="14" t="str">
        <x:v>Mobile 375px</x:v>
      </x:c>
      <x:c r="F199" s="14" t="str">
        <x:v>Duyệt từng route</x:v>
      </x:c>
      <x:c r="G199" s="14" t="str">
        <x:v>Không xuất hiện horizontal scrollbar</x:v>
      </x:c>
      <x:c r="H199" s="14" t="str">
        <x:v>P1 High</x:v>
      </x:c>
      <x:c r="I199" s="14" t="str">
        <x:v>Responsive</x:v>
      </x:c>
      <x:c r="J199" s="14" t="str"/>
      <x:c r="K199" s="14" t="str">
        <x:v>Not Tested</x:v>
      </x:c>
      <x:c r="L199" s="14" t="str"/>
      <x:c r="M199" s="14" t="str"/>
      <x:c r="N199" s="14" t="str"/>
    </x:row>
    <x:row r="200">
      <x:c r="A200" s="14" t="str">
        <x:v>EX-199</x:v>
      </x:c>
      <x:c r="B200" s="14" t="str">
        <x:v>UI/UX Small Defects &amp; Accessibility</x:v>
      </x:c>
      <x:c r="C200" s="14" t="str">
        <x:v>All routes</x:v>
      </x:c>
      <x:c r="D200" s="14" t="str">
        <x:v>Tap target mobile</x:v>
      </x:c>
      <x:c r="E200" s="14" t="str">
        <x:v>Mobile</x:v>
      </x:c>
      <x:c r="F200" s="14" t="str">
        <x:v>Bấm menu/nút nhỏ</x:v>
      </x:c>
      <x:c r="G200" s="14" t="str">
        <x:v>Nút đủ lớn, không quá sát nhau</x:v>
      </x:c>
      <x:c r="H200" s="14" t="str">
        <x:v>P3 Low</x:v>
      </x:c>
      <x:c r="I200" s="14" t="str">
        <x:v>Accessibility</x:v>
      </x:c>
      <x:c r="J200" s="14" t="str"/>
      <x:c r="K200" s="14" t="str">
        <x:v>Not Tested</x:v>
      </x:c>
      <x:c r="L200" s="14" t="str"/>
      <x:c r="M200" s="14" t="str"/>
      <x:c r="N200" s="14" t="str"/>
    </x:row>
    <x:row r="201">
      <x:c r="A201" s="14" t="str">
        <x:v>EX-200</x:v>
      </x:c>
      <x:c r="B201" s="14" t="str">
        <x:v>UI/UX Small Defects &amp; Accessibility</x:v>
      </x:c>
      <x:c r="C201" s="14" t="str">
        <x:v>All routes</x:v>
      </x:c>
      <x:c r="D201" s="14" t="str">
        <x:v>Alt ảnh</x:v>
      </x:c>
      <x:c r="E201" s="14" t="str">
        <x:v>Duyệt ảnh chính/card</x:v>
      </x:c>
      <x:c r="F201" s="14" t="str">
        <x:v>Inspect hoặc dùng screen reader cơ bản</x:v>
      </x:c>
      <x:c r="G201" s="14" t="str">
        <x:v>Ảnh có alt phù hợp hoặc alt rỗng nếu trang trí</x:v>
      </x:c>
      <x:c r="H201" s="14" t="str">
        <x:v>P3 Low</x:v>
      </x:c>
      <x:c r="I201" s="14" t="str">
        <x:v>Accessibility</x:v>
      </x:c>
      <x:c r="J201" s="14" t="str"/>
      <x:c r="K201" s="14" t="str">
        <x:v>Not Tested</x:v>
      </x:c>
      <x:c r="L201" s="14" t="str"/>
      <x:c r="M201" s="14" t="str"/>
      <x:c r="N201" s="14" t="str"/>
    </x:row>
    <x:row r="202">
      <x:c r="A202" s="14" t="str">
        <x:v>EX-201</x:v>
      </x:c>
      <x:c r="B202" s="14" t="str">
        <x:v>UI/UX Small Defects &amp; Accessibility</x:v>
      </x:c>
      <x:c r="C202" s="14" t="str">
        <x:v>All routes</x:v>
      </x:c>
      <x:c r="D202" s="14" t="str">
        <x:v>Contrast chữ</x:v>
      </x:c>
      <x:c r="E202" s="14" t="str">
        <x:v>Duyệt text trên banner/nút</x:v>
      </x:c>
      <x:c r="F202" s="14" t="str">
        <x:v>Quan sát độ tương phản</x:v>
      </x:c>
      <x:c r="G202" s="14" t="str">
        <x:v>Chữ đọc rõ trên nền</x:v>
      </x:c>
      <x:c r="H202" s="14" t="str">
        <x:v>P2 Medium</x:v>
      </x:c>
      <x:c r="I202" s="14" t="str">
        <x:v>Accessibility</x:v>
      </x:c>
      <x:c r="J202" s="14" t="str"/>
      <x:c r="K202" s="14" t="str">
        <x:v>Not Tested</x:v>
      </x:c>
      <x:c r="L202" s="14" t="str"/>
      <x:c r="M202" s="14" t="str"/>
      <x:c r="N202" s="14" t="str"/>
    </x:row>
    <x:row r="203">
      <x:c r="A203" s="14" t="str">
        <x:v>EX-202</x:v>
      </x:c>
      <x:c r="B203" s="14" t="str">
        <x:v>UI/UX Small Defects &amp; Accessibility</x:v>
      </x:c>
      <x:c r="C203" s="14" t="str">
        <x:v>All routes</x:v>
      </x:c>
      <x:c r="D203" s="14" t="str">
        <x:v>Focus keyboard</x:v>
      </x:c>
      <x:c r="E203" s="14" t="str">
        <x:v>Dùng Tab</x:v>
      </x:c>
      <x:c r="F203" s="14" t="str">
        <x:v>Di chuyển qua menu/form/nút</x:v>
      </x:c>
      <x:c r="G203" s="14" t="str">
        <x:v>Có focus visible, thứ tự hợp lý</x:v>
      </x:c>
      <x:c r="H203" s="14" t="str">
        <x:v>P3 Low</x:v>
      </x:c>
      <x:c r="I203" s="14" t="str">
        <x:v>Accessibility</x:v>
      </x:c>
      <x:c r="J203" s="14" t="str"/>
      <x:c r="K203" s="14" t="str">
        <x:v>Not Tested</x:v>
      </x:c>
      <x:c r="L203" s="14" t="str"/>
      <x:c r="M203" s="14" t="str"/>
      <x:c r="N203" s="14" t="str"/>
    </x:row>
    <x:row r="204">
      <x:c r="A204" s="14" t="str">
        <x:v>EX-203</x:v>
      </x:c>
      <x:c r="B204" s="14" t="str">
        <x:v>Deploy / Error / Performance</x:v>
      </x:c>
      <x:c r="C204" s="14" t="str">
        <x:v>Build &amp; Vercel</x:v>
      </x:c>
      <x:c r="D204" s="14" t="str">
        <x:v>Build không lỗi</x:v>
      </x:c>
      <x:c r="E204" s="14" t="str">
        <x:v>Ở source code</x:v>
      </x:c>
      <x:c r="F204" s="14" t="str">
        <x:v>Chạy build</x:v>
      </x:c>
      <x:c r="G204" s="14" t="str">
        <x:v>Build thành công, không lỗi nghiêm trọng</x:v>
      </x:c>
      <x:c r="H204" s="14" t="str">
        <x:v>P0 Critical</x:v>
      </x:c>
      <x:c r="I204" s="14" t="str">
        <x:v>Build/Deploy</x:v>
      </x:c>
      <x:c r="J204" s="14" t="str"/>
      <x:c r="K204" s="14" t="str">
        <x:v>Not Tested</x:v>
      </x:c>
      <x:c r="L204" s="14" t="str"/>
      <x:c r="M204" s="14" t="str"/>
      <x:c r="N204" s="14" t="str"/>
    </x:row>
    <x:row r="205">
      <x:c r="A205" s="14" t="str">
        <x:v>EX-204</x:v>
      </x:c>
      <x:c r="B205" s="14" t="str">
        <x:v>Deploy / Error / Performance</x:v>
      </x:c>
      <x:c r="C205" s="14" t="str">
        <x:v>Build &amp; Vercel</x:v>
      </x:c>
      <x:c r="D205" s="14" t="str">
        <x:v>Vercel load trang chủ</x:v>
      </x:c>
      <x:c r="E205" s="14" t="str">
        <x:v>Mở link deploy</x:v>
      </x:c>
      <x:c r="F205" s="14" t="str">
        <x:v>Load `/`</x:v>
      </x:c>
      <x:c r="G205" s="14" t="str">
        <x:v>Trang chủ mở được</x:v>
      </x:c>
      <x:c r="H205" s="14" t="str">
        <x:v>P0 Critical</x:v>
      </x:c>
      <x:c r="I205" s="14" t="str">
        <x:v>Deploy</x:v>
      </x:c>
      <x:c r="J205" s="14" t="str"/>
      <x:c r="K205" s="14" t="str">
        <x:v>Not Tested</x:v>
      </x:c>
      <x:c r="L205" s="14" t="str"/>
      <x:c r="M205" s="14" t="str"/>
      <x:c r="N205" s="14" t="str"/>
    </x:row>
    <x:row r="206">
      <x:c r="A206" s="14" t="str">
        <x:v>EX-205</x:v>
      </x:c>
      <x:c r="B206" s="14" t="str">
        <x:v>Deploy / Error / Performance</x:v>
      </x:c>
      <x:c r="C206" s="14" t="str">
        <x:v>Build &amp; Vercel</x:v>
      </x:c>
      <x:c r="D206" s="14" t="str">
        <x:v>Vercel refresh route protected</x:v>
      </x:c>
      <x:c r="E206" s="14" t="str">
        <x:v>Trên Vercel</x:v>
      </x:c>
      <x:c r="F206" s="14" t="str">
        <x:v>F5 ở `/bai-da-luu` hoặc `/admin`</x:v>
      </x:c>
      <x:c r="G206" s="14" t="str">
        <x:v>Không 404; xử lý auth đúng</x:v>
      </x:c>
      <x:c r="H206" s="14" t="str">
        <x:v>P0 Critical</x:v>
      </x:c>
      <x:c r="I206" s="14" t="str">
        <x:v>Deploy</x:v>
      </x:c>
      <x:c r="J206" s="14" t="str"/>
      <x:c r="K206" s="14" t="str">
        <x:v>Not Tested</x:v>
      </x:c>
      <x:c r="L206" s="14" t="str"/>
      <x:c r="M206" s="14" t="str"/>
      <x:c r="N206" s="14" t="str"/>
    </x:row>
    <x:row r="207">
      <x:c r="A207" s="14" t="str">
        <x:v>EX-206</x:v>
      </x:c>
      <x:c r="B207" s="14" t="str">
        <x:v>Deploy / Error / Performance</x:v>
      </x:c>
      <x:c r="C207" s="14" t="str">
        <x:v>Build &amp; Vercel</x:v>
      </x:c>
      <x:c r="D207" s="14" t="str">
        <x:v>Asset ảnh không mất trên deploy</x:v>
      </x:c>
      <x:c r="E207" s="14" t="str">
        <x:v>Mở Vercel</x:v>
      </x:c>
      <x:c r="F207" s="14" t="str">
        <x:v>Duyệt ảnh/banner/card</x:v>
      </x:c>
      <x:c r="G207" s="14" t="str">
        <x:v>Không có ảnh 404/mất ảnh</x:v>
      </x:c>
      <x:c r="H207" s="14" t="str">
        <x:v>P1 High</x:v>
      </x:c>
      <x:c r="I207" s="14" t="str">
        <x:v>Deploy</x:v>
      </x:c>
      <x:c r="J207" s="14" t="str"/>
      <x:c r="K207" s="14" t="str">
        <x:v>Not Tested</x:v>
      </x:c>
      <x:c r="L207" s="14" t="str"/>
      <x:c r="M207" s="14" t="str"/>
      <x:c r="N207" s="14" t="str"/>
    </x:row>
    <x:row r="208">
      <x:c r="A208" s="14" t="str">
        <x:v>EX-207</x:v>
      </x:c>
      <x:c r="B208" s="14" t="str">
        <x:v>Deploy / Error / Performance</x:v>
      </x:c>
      <x:c r="C208" s="14" t="str">
        <x:v>Build &amp; Vercel</x:v>
      </x:c>
      <x:c r="D208" s="14" t="str">
        <x:v>API/env missing</x:v>
      </x:c>
      <x:c r="E208" s="14" t="str">
        <x:v>Mở Vercel</x:v>
      </x:c>
      <x:c r="F208" s="14" t="str">
        <x:v>Thử login/load data</x:v>
      </x:c>
      <x:c r="G208" s="14" t="str">
        <x:v>Không lỗi do thiếu env; nếu lỗi thì báo rõ</x:v>
      </x:c>
      <x:c r="H208" s="14" t="str">
        <x:v>P0 Critical</x:v>
      </x:c>
      <x:c r="I208" s="14" t="str">
        <x:v>Deploy</x:v>
      </x:c>
      <x:c r="J208" s="14" t="str"/>
      <x:c r="K208" s="14" t="str">
        <x:v>Not Tested</x:v>
      </x:c>
      <x:c r="L208" s="14" t="str"/>
      <x:c r="M208" s="14" t="str"/>
      <x:c r="N208" s="14" t="str"/>
    </x:row>
    <x:row r="209">
      <x:c r="A209" s="14" t="str">
        <x:v>EX-208</x:v>
      </x:c>
      <x:c r="B209" s="14" t="str">
        <x:v>Deploy / Error / Performance</x:v>
      </x:c>
      <x:c r="C209" s="14" t="str">
        <x:v>Build &amp; Vercel</x:v>
      </x:c>
      <x:c r="D209" s="14" t="str">
        <x:v>Mạng chậm</x:v>
      </x:c>
      <x:c r="E209" s="14" t="str">
        <x:v>Throttle mạng slow</x:v>
      </x:c>
      <x:c r="F209" s="14" t="str">
        <x:v>Duyệt trang list</x:v>
      </x:c>
      <x:c r="G209" s="14" t="str">
        <x:v>Có loading skeleton/spinner</x:v>
      </x:c>
      <x:c r="H209" s="14" t="str">
        <x:v>P2 Medium</x:v>
      </x:c>
      <x:c r="I209" s="14" t="str">
        <x:v>Performance/UX</x:v>
      </x:c>
      <x:c r="J209" s="14" t="str"/>
      <x:c r="K209" s="14" t="str">
        <x:v>Not Tested</x:v>
      </x:c>
      <x:c r="L209" s="14" t="str"/>
      <x:c r="M209" s="14" t="str"/>
      <x:c r="N209" s="14" t="str"/>
    </x:row>
    <x:row r="210">
      <x:c r="A210" s="14" t="str">
        <x:v>EX-209</x:v>
      </x:c>
      <x:c r="B210" s="14" t="str">
        <x:v>Deploy / Error / Performance</x:v>
      </x:c>
      <x:c r="C210" s="14" t="str">
        <x:v>Build &amp; Vercel</x:v>
      </x:c>
      <x:c r="D210" s="14" t="str">
        <x:v>Mất mạng</x:v>
      </x:c>
      <x:c r="E210" s="14" t="str">
        <x:v>Tắt mạng</x:v>
      </x:c>
      <x:c r="F210" s="14" t="str">
        <x:v>Reload trang</x:v>
      </x:c>
      <x:c r="G210" s="14" t="str">
        <x:v>Có error state, không trắng trang</x:v>
      </x:c>
      <x:c r="H210" s="14" t="str">
        <x:v>P2 Medium</x:v>
      </x:c>
      <x:c r="I210" s="14" t="str">
        <x:v>Error State</x:v>
      </x:c>
      <x:c r="J210" s="14" t="str"/>
      <x:c r="K210" s="14" t="str">
        <x:v>Not Tested</x:v>
      </x:c>
      <x:c r="L210" s="14" t="str"/>
      <x:c r="M210" s="14" t="str"/>
      <x:c r="N210" s="14" t="str"/>
    </x:row>
    <x:row r="211">
      <x:c r="A211" s="14" t="str">
        <x:v>EX-210</x:v>
      </x:c>
      <x:c r="B211" s="14" t="str">
        <x:v>Deploy / Error / Performance</x:v>
      </x:c>
      <x:c r="C211" s="14" t="str">
        <x:v>Build &amp; Vercel</x:v>
      </x:c>
      <x:c r="D211" s="14" t="str">
        <x:v>Data null field</x:v>
      </x:c>
      <x:c r="E211" s="14" t="str">
        <x:v>Có bài thiếu ảnh/mô tả</x:v>
      </x:c>
      <x:c r="F211" s="14" t="str">
        <x:v>Load list/detail</x:v>
      </x:c>
      <x:c r="G211" s="14" t="str">
        <x:v>App không crash, fallback hợp lý</x:v>
      </x:c>
      <x:c r="H211" s="14" t="str">
        <x:v>P2 Medium</x:v>
      </x:c>
      <x:c r="I211" s="14" t="str">
        <x:v>Error State</x:v>
      </x:c>
      <x:c r="J211" s="14" t="str"/>
      <x:c r="K211" s="14" t="str">
        <x:v>Not Tested</x:v>
      </x:c>
      <x:c r="L211" s="14" t="str"/>
      <x:c r="M211" s="14" t="str"/>
      <x:c r="N211" s="14" t="str"/>
    </x:row>
    <x:row r="212">
      <x:c r="A212" s="14" t="str">
        <x:v>EX-211</x:v>
      </x:c>
      <x:c r="B212" s="14" t="str">
        <x:v>Deploy / Error / Performance</x:v>
      </x:c>
      <x:c r="C212" s="14" t="str">
        <x:v>Build &amp; Vercel</x:v>
      </x:c>
      <x:c r="D212" s="14" t="str">
        <x:v>Dữ liệu cũ sau thao tác</x:v>
      </x:c>
      <x:c r="E212" s="14" t="str">
        <x:v>Save/post/admin approve</x:v>
      </x:c>
      <x:c r="F212" s="14" t="str">
        <x:v>Quan sát list sau thao tác</x:v>
      </x:c>
      <x:c r="G212" s="14" t="str">
        <x:v>UI cập nhật ngay hoặc refetch rõ, không cần F5 bất tiện</x:v>
      </x:c>
      <x:c r="H212" s="14" t="str">
        <x:v>P1 High</x:v>
      </x:c>
      <x:c r="I212" s="14" t="str">
        <x:v>Data Sync</x:v>
      </x:c>
      <x:c r="J212" s="14" t="str"/>
      <x:c r="K212" s="14" t="str">
        <x:v>Not Tested</x:v>
      </x:c>
      <x:c r="L212" s="14" t="str"/>
      <x:c r="M212" s="14" t="str"/>
      <x:c r="N212" s="14" t="str"/>
    </x:row>
    <x:row r="213">
      <x:c r="A213" s="14" t="str">
        <x:v>EX-212</x:v>
      </x:c>
      <x:c r="B213" s="14" t="str">
        <x:v>Deploy / Error / Performance</x:v>
      </x:c>
      <x:c r="C213" s="14" t="str">
        <x:v>Build &amp; Vercel</x:v>
      </x:c>
      <x:c r="D213" s="14" t="str">
        <x:v>LocalStorage/session lỗi</x:v>
      </x:c>
      <x:c r="E213" s="14" t="str">
        <x:v>Xóa localStorage</x:v>
      </x:c>
      <x:c r="F213" s="14" t="str">
        <x:v>Reload app</x:v>
      </x:c>
      <x:c r="G213" s="14" t="str">
        <x:v>Không crash, quay về trạng thái guest</x:v>
      </x:c>
      <x:c r="H213" s="14" t="str">
        <x:v>P2 Medium</x:v>
      </x:c>
      <x:c r="I213" s="14" t="str">
        <x:v>Error State</x:v>
      </x:c>
      <x:c r="J213" s="14" t="str"/>
      <x:c r="K213" s="14" t="str">
        <x:v>Not Tested</x:v>
      </x:c>
      <x:c r="L213" s="14" t="str"/>
      <x:c r="M213" s="14" t="str"/>
      <x:c r="N213" s="14" t="str"/>
    </x:row>
  </x:sheetData>
  <x:conditionalFormatting sqref="K2:K213">
    <x:cfRule type="expression" dxfId="0" priority="1">
      <x:formula>K2="Fail"</x:formula>
    </x:cfRule>
    <x:cfRule type="expression" dxfId="1" priority="2">
      <x:formula>K2="Pass"</x:formula>
    </x:cfRule>
    <x:cfRule type="expression" dxfId="2" priority="3">
      <x:formula>K2="Blocked"</x:formula>
    </x:cfRule>
    <x:cfRule type="expression" dxfId="3" priority="4">
      <x:formula>K2="Not Implemented"</x:formula>
    </x:cfRule>
  </x:conditionalFormatting>
  <x:conditionalFormatting sqref="H2:H213">
    <x:cfRule type="expression" dxfId="4" priority="5">
      <x:formula>H2="P0 Critical"</x:formula>
    </x:cfRule>
  </x:conditionalFormatting>
  <x:dataValidations count="3">
    <x:dataValidation type="list" sqref="K2:K213">
      <x:formula1>Lists!$A$2:$A$7</x:formula1>
    </x:dataValidation>
    <x:dataValidation type="list" sqref="H2:H213">
      <x:formula1>Lists!$C$2:$C$5</x:formula1>
    </x:dataValidation>
    <x:dataValidation type="list" sqref="I2:I213">
      <x:formula1>Lists!$E$2:$E$23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8c47b4076346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8" t="str">
        <x:v>E-XANH TESTCASE DASHBOARD</x:v>
      </x:c>
      <x:c r="B1" s="2" t="str"/>
      <x:c r="C1" s="2" t="str"/>
      <x:c r="D1" s="2" t="str"/>
      <x:c r="E1" s="2" t="str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14" t="str">
        <x:v>Tổng số testcase</x:v>
      </x:c>
      <x:c r="B2" s="14" t="n">
        <x:f>COUNTA(TestCases!A2:A213)</x:f>
        <x:v>212</x:v>
      </x:c>
      <x:c r="C2" s="14" t="str"/>
      <x:c r="D2" s="14" t="str">
        <x:v>Ngày tạo</x:v>
      </x:c>
      <x:c r="E2" s="28" t="n">
        <x:v>46184</x:v>
      </x:c>
    </x:row>
    <x:row r="3">
      <x:c r="A3" s="14" t="str">
        <x:v>Pass</x:v>
      </x:c>
      <x:c r="B3" s="14" t="n">
        <x:f>COUNTIF(TestCases!K2:K213,"Pass")</x:f>
        <x:v>0</x:v>
      </x:c>
      <x:c r="C3" s="14" t="str"/>
      <x:c r="D3" s="14" t="str">
        <x:v>Fail</x:v>
      </x:c>
      <x:c r="E3" s="14" t="n">
        <x:f>COUNTIF(TestCases!K2:K213,"Fail")</x:f>
        <x:v>0</x:v>
      </x:c>
    </x:row>
    <x:row r="4">
      <x:c r="A4" s="14" t="str">
        <x:v>Blocked</x:v>
      </x:c>
      <x:c r="B4" s="14" t="n">
        <x:f>COUNTIF(TestCases!K2:K213,"Blocked")</x:f>
        <x:v>0</x:v>
      </x:c>
      <x:c r="C4" s="14" t="str"/>
      <x:c r="D4" s="14" t="str">
        <x:v>Not Tested</x:v>
      </x:c>
      <x:c r="E4" s="14" t="n">
        <x:f>COUNTIF(TestCases!K2:K213,"Not Tested")</x:f>
        <x:v>212</x:v>
      </x:c>
    </x:row>
    <x:row r="5">
      <x:c r="A5" s="14" t="str">
        <x:v>Not Implemented</x:v>
      </x:c>
      <x:c r="B5" s="14" t="n">
        <x:f>COUNTIF(TestCases!K2:K213,"Not Implemented")</x:f>
        <x:v>0</x:v>
      </x:c>
      <x:c r="C5" s="14" t="str"/>
      <x:c r="D5" s="14" t="str">
        <x:v>Need Design Decision</x:v>
      </x:c>
      <x:c r="E5" s="14" t="n">
        <x:f>COUNTIF(TestCases!K2:K213,"Need Design Decision")</x:f>
        <x:v>0</x:v>
      </x:c>
    </x:row>
    <x:row r="6">
      <x:c r="A6" s="14" t="str">
        <x:v>Pass Rate</x:v>
      </x:c>
      <x:c r="B6" s="26" t="n">
        <x:f>IF(B2=0,0,B3/B2)</x:f>
        <x:v>0</x:v>
      </x:c>
      <x:c r="C6" s="26" t="str"/>
      <x:c r="D6" s="26" t="str">
        <x:v>Fail Rate</x:v>
      </x:c>
      <x:c r="E6" s="26" t="n">
        <x:f>IF(B2=0,0,E3/B2)</x:f>
        <x:v>0</x:v>
      </x:c>
    </x:row>
    <x:row r="7">
      <x:c r="A7" t="str"/>
      <x:c r="B7" t="str"/>
      <x:c r="C7" t="str"/>
      <x:c r="D7" t="str"/>
      <x:c r="E7" t="str"/>
    </x:row>
    <x:row r="8">
      <x:c r="A8" s="23" t="str">
        <x:v>Module</x:v>
      </x:c>
      <x:c r="B8" s="23" t="str">
        <x:v>Total</x:v>
      </x:c>
      <x:c r="C8" s="23" t="str">
        <x:v>P0/P1</x:v>
      </x:c>
      <x:c r="D8" s="23" t="str">
        <x:v>Fail</x:v>
      </x:c>
      <x:c r="E8" s="23" t="str">
        <x:v>Not Implemented</x:v>
      </x:c>
    </x:row>
    <x:row r="9">
      <x:c r="A9" t="str">
        <x:v>Admin Dashboard / Post Management</x:v>
      </x:c>
      <x:c r="B9" t="n">
        <x:f>COUNTIF(TestCases!B:B,A9)</x:f>
        <x:v>16</x:v>
      </x:c>
      <x:c r="C9" t="n">
        <x:f>COUNTIFS(TestCases!B:B,A9,TestCases!H:H,"P0 Critical")+COUNTIFS(TestCases!B:B,A9,TestCases!H:H,"P1 High")</x:f>
        <x:v>10</x:v>
      </x:c>
      <x:c r="D9" t="n">
        <x:f>COUNTIFS(TestCases!B:B,A9,TestCases!K:K,"Fail")</x:f>
        <x:v>0</x:v>
      </x:c>
      <x:c r="E9" t="n">
        <x:f>COUNTIFS(TestCases!B:B,A9,TestCases!K:K,"Not Implemented")</x:f>
        <x:v>0</x:v>
      </x:c>
    </x:row>
    <x:row r="10">
      <x:c r="A10" t="str">
        <x:v>Admin Topbar Notifications / Help</x:v>
      </x:c>
      <x:c r="B10" t="n">
        <x:f>COUNTIF(TestCases!B:B,A10)</x:f>
        <x:v>10</x:v>
      </x:c>
      <x:c r="C10" t="n">
        <x:f>COUNTIFS(TestCases!B:B,A10,TestCases!H:H,"P0 Critical")+COUNTIFS(TestCases!B:B,A10,TestCases!H:H,"P1 High")</x:f>
        <x:v>2</x:v>
      </x:c>
      <x:c r="D10" t="n">
        <x:f>COUNTIFS(TestCases!B:B,A10,TestCases!K:K,"Fail")</x:f>
        <x:v>0</x:v>
      </x:c>
      <x:c r="E10" t="n">
        <x:f>COUNTIFS(TestCases!B:B,A10,TestCases!K:K,"Not Implemented")</x:f>
        <x:v>0</x:v>
      </x:c>
    </x:row>
    <x:row r="11">
      <x:c r="A11" t="str">
        <x:v>Authentication &amp; Permission</x:v>
      </x:c>
      <x:c r="B11" t="n">
        <x:f>COUNTIF(TestCases!B:B,A11)</x:f>
        <x:v>12</x:v>
      </x:c>
      <x:c r="C11" t="n">
        <x:f>COUNTIFS(TestCases!B:B,A11,TestCases!H:H,"P0 Critical")+COUNTIFS(TestCases!B:B,A11,TestCases!H:H,"P1 High")</x:f>
        <x:v>12</x:v>
      </x:c>
      <x:c r="D11" t="n">
        <x:f>COUNTIFS(TestCases!B:B,A11,TestCases!K:K,"Fail")</x:f>
        <x:v>0</x:v>
      </x:c>
      <x:c r="E11" t="n">
        <x:f>COUNTIFS(TestCases!B:B,A11,TestCases!K:K,"Not Implemented")</x:f>
        <x:v>0</x:v>
      </x:c>
    </x:row>
    <x:row r="12">
      <x:c r="A12" t="str">
        <x:v>Comments</x:v>
      </x:c>
      <x:c r="B12" t="n">
        <x:f>COUNTIF(TestCases!B:B,A12)</x:f>
        <x:v>10</x:v>
      </x:c>
      <x:c r="C12" t="n">
        <x:f>COUNTIFS(TestCases!B:B,A12,TestCases!H:H,"P0 Critical")+COUNTIFS(TestCases!B:B,A12,TestCases!H:H,"P1 High")</x:f>
        <x:v>7</x:v>
      </x:c>
      <x:c r="D12" t="n">
        <x:f>COUNTIFS(TestCases!B:B,A12,TestCases!K:K,"Fail")</x:f>
        <x:v>0</x:v>
      </x:c>
      <x:c r="E12" t="n">
        <x:f>COUNTIFS(TestCases!B:B,A12,TestCases!K:K,"Not Implemented")</x:f>
        <x:v>0</x:v>
      </x:c>
    </x:row>
    <x:row r="13">
      <x:c r="A13" t="str">
        <x:v>Community Page</x:v>
      </x:c>
      <x:c r="B13" t="n">
        <x:f>COUNTIF(TestCases!B:B,A13)</x:f>
        <x:v>13</x:v>
      </x:c>
      <x:c r="C13" t="n">
        <x:f>COUNTIFS(TestCases!B:B,A13,TestCases!H:H,"P0 Critical")+COUNTIFS(TestCases!B:B,A13,TestCases!H:H,"P1 High")</x:f>
        <x:v>8</x:v>
      </x:c>
      <x:c r="D13" t="n">
        <x:f>COUNTIFS(TestCases!B:B,A13,TestCases!K:K,"Fail")</x:f>
        <x:v>0</x:v>
      </x:c>
      <x:c r="E13" t="n">
        <x:f>COUNTIFS(TestCases!B:B,A13,TestCases!K:K,"Not Implemented")</x:f>
        <x:v>0</x:v>
      </x:c>
    </x:row>
    <x:row r="14">
      <x:c r="A14" t="str">
        <x:v>Create Post</x:v>
      </x:c>
      <x:c r="B14" t="n">
        <x:f>COUNTIF(TestCases!B:B,A14)</x:f>
        <x:v>19</x:v>
      </x:c>
      <x:c r="C14" t="n">
        <x:f>COUNTIFS(TestCases!B:B,A14,TestCases!H:H,"P0 Critical")+COUNTIFS(TestCases!B:B,A14,TestCases!H:H,"P1 High")</x:f>
        <x:v>12</x:v>
      </x:c>
      <x:c r="D14" t="n">
        <x:f>COUNTIFS(TestCases!B:B,A14,TestCases!K:K,"Fail")</x:f>
        <x:v>0</x:v>
      </x:c>
      <x:c r="E14" t="n">
        <x:f>COUNTIFS(TestCases!B:B,A14,TestCases!K:K,"Not Implemented")</x:f>
        <x:v>0</x:v>
      </x:c>
    </x:row>
    <x:row r="15">
      <x:c r="A15" t="str">
        <x:v>Deploy / Error / Performance</x:v>
      </x:c>
      <x:c r="B15" t="n">
        <x:f>COUNTIF(TestCases!B:B,A15)</x:f>
        <x:v>10</x:v>
      </x:c>
      <x:c r="C15" t="n">
        <x:f>COUNTIFS(TestCases!B:B,A15,TestCases!H:H,"P0 Critical")+COUNTIFS(TestCases!B:B,A15,TestCases!H:H,"P1 High")</x:f>
        <x:v>6</x:v>
      </x:c>
      <x:c r="D15" t="n">
        <x:f>COUNTIFS(TestCases!B:B,A15,TestCases!K:K,"Fail")</x:f>
        <x:v>0</x:v>
      </x:c>
      <x:c r="E15" t="n">
        <x:f>COUNTIFS(TestCases!B:B,A15,TestCases!K:K,"Not Implemented")</x:f>
        <x:v>0</x:v>
      </x:c>
    </x:row>
    <x:row r="16">
      <x:c r="A16" t="str">
        <x:v>Electricity Calculator</x:v>
      </x:c>
      <x:c r="B16" t="n">
        <x:f>COUNTIF(TestCases!B:B,A16)</x:f>
        <x:v>13</x:v>
      </x:c>
      <x:c r="C16" t="n">
        <x:f>COUNTIFS(TestCases!B:B,A16,TestCases!H:H,"P0 Critical")+COUNTIFS(TestCases!B:B,A16,TestCases!H:H,"P1 High")</x:f>
        <x:v>7</x:v>
      </x:c>
      <x:c r="D16" t="n">
        <x:f>COUNTIFS(TestCases!B:B,A16,TestCases!K:K,"Fail")</x:f>
        <x:v>0</x:v>
      </x:c>
      <x:c r="E16" t="n">
        <x:f>COUNTIFS(TestCases!B:B,A16,TestCases!K:K,"Not Implemented")</x:f>
        <x:v>0</x:v>
      </x:c>
    </x:row>
    <x:row r="17">
      <x:c r="A17" t="str">
        <x:v>Global Navigation</x:v>
      </x:c>
      <x:c r="B17" t="n">
        <x:f>COUNTIF(TestCases!B:B,A17)</x:f>
        <x:v>15</x:v>
      </x:c>
      <x:c r="C17" t="n">
        <x:f>COUNTIFS(TestCases!B:B,A17,TestCases!H:H,"P0 Critical")+COUNTIFS(TestCases!B:B,A17,TestCases!H:H,"P1 High")</x:f>
        <x:v>9</x:v>
      </x:c>
      <x:c r="D17" t="n">
        <x:f>COUNTIFS(TestCases!B:B,A17,TestCases!K:K,"Fail")</x:f>
        <x:v>0</x:v>
      </x:c>
      <x:c r="E17" t="n">
        <x:f>COUNTIFS(TestCases!B:B,A17,TestCases!K:K,"Not Implemented")</x:f>
        <x:v>0</x:v>
      </x:c>
    </x:row>
    <x:row r="18">
      <x:c r="A18" t="str">
        <x:v>Home Page</x:v>
      </x:c>
      <x:c r="B18" t="n">
        <x:f>COUNTIF(TestCases!B:B,A18)</x:f>
        <x:v>10</x:v>
      </x:c>
      <x:c r="C18" t="n">
        <x:f>COUNTIFS(TestCases!B:B,A18,TestCases!H:H,"P0 Critical")+COUNTIFS(TestCases!B:B,A18,TestCases!H:H,"P1 High")</x:f>
        <x:v>6</x:v>
      </x:c>
      <x:c r="D18" t="n">
        <x:f>COUNTIFS(TestCases!B:B,A18,TestCases!K:K,"Fail")</x:f>
        <x:v>0</x:v>
      </x:c>
      <x:c r="E18" t="n">
        <x:f>COUNTIFS(TestCases!B:B,A18,TestCases!K:K,"Not Implemented")</x:f>
        <x:v>0</x:v>
      </x:c>
    </x:row>
    <x:row r="19">
      <x:c r="A19" t="str">
        <x:v>Post Detail</x:v>
      </x:c>
      <x:c r="B19" t="n">
        <x:f>COUNTIF(TestCases!B:B,A19)</x:f>
        <x:v>11</x:v>
      </x:c>
      <x:c r="C19" t="n">
        <x:f>COUNTIFS(TestCases!B:B,A19,TestCases!H:H,"P0 Critical")+COUNTIFS(TestCases!B:B,A19,TestCases!H:H,"P1 High")</x:f>
        <x:v>7</x:v>
      </x:c>
      <x:c r="D19" t="n">
        <x:f>COUNTIFS(TestCases!B:B,A19,TestCases!K:K,"Fail")</x:f>
        <x:v>0</x:v>
      </x:c>
      <x:c r="E19" t="n">
        <x:f>COUNTIFS(TestCases!B:B,A19,TestCases!K:K,"Not Implemented")</x:f>
        <x:v>0</x:v>
      </x:c>
    </x:row>
    <x:row r="20">
      <x:c r="A20" t="str">
        <x:v>Saved Posts</x:v>
      </x:c>
      <x:c r="B20" t="n">
        <x:f>COUNTIF(TestCases!B:B,A20)</x:f>
        <x:v>10</x:v>
      </x:c>
      <x:c r="C20" t="n">
        <x:f>COUNTIFS(TestCases!B:B,A20,TestCases!H:H,"P0 Critical")+COUNTIFS(TestCases!B:B,A20,TestCases!H:H,"P1 High")</x:f>
        <x:v>10</x:v>
      </x:c>
      <x:c r="D20" t="n">
        <x:f>COUNTIFS(TestCases!B:B,A20,TestCases!K:K,"Fail")</x:f>
        <x:v>0</x:v>
      </x:c>
      <x:c r="E20" t="n">
        <x:f>COUNTIFS(TestCases!B:B,A20,TestCases!K:K,"Not Implemented")</x:f>
        <x:v>0</x:v>
      </x:c>
    </x:row>
    <x:row r="21">
      <x:c r="A21" t="str">
        <x:v>Search / Filter / Pagination</x:v>
      </x:c>
      <x:c r="B21" t="n">
        <x:f>COUNTIF(TestCases!B:B,A21)</x:f>
        <x:v>10</x:v>
      </x:c>
      <x:c r="C21" t="n">
        <x:f>COUNTIFS(TestCases!B:B,A21,TestCases!H:H,"P0 Critical")+COUNTIFS(TestCases!B:B,A21,TestCases!H:H,"P1 High")</x:f>
        <x:v>0</x:v>
      </x:c>
      <x:c r="D21" t="n">
        <x:f>COUNTIFS(TestCases!B:B,A21,TestCases!K:K,"Fail")</x:f>
        <x:v>0</x:v>
      </x:c>
      <x:c r="E21" t="n">
        <x:f>COUNTIFS(TestCases!B:B,A21,TestCases!K:K,"Not Implemented")</x:f>
        <x:v>0</x:v>
      </x:c>
    </x:row>
    <x:row r="22">
      <x:c r="A22" t="str">
        <x:v>Tips Page</x:v>
      </x:c>
      <x:c r="B22" t="n">
        <x:f>COUNTIF(TestCases!B:B,A22)</x:f>
        <x:v>10</x:v>
      </x:c>
      <x:c r="C22" t="n">
        <x:f>COUNTIFS(TestCases!B:B,A22,TestCases!H:H,"P0 Critical")+COUNTIFS(TestCases!B:B,A22,TestCases!H:H,"P1 High")</x:f>
        <x:v>6</x:v>
      </x:c>
      <x:c r="D22" t="n">
        <x:f>COUNTIFS(TestCases!B:B,A22,TestCases!K:K,"Fail")</x:f>
        <x:v>0</x:v>
      </x:c>
      <x:c r="E22" t="n">
        <x:f>COUNTIFS(TestCases!B:B,A22,TestCases!K:K,"Not Implemented")</x:f>
        <x:v>0</x:v>
      </x:c>
    </x:row>
    <x:row r="23">
      <x:c r="A23" t="str">
        <x:v>UI/UX Small Defects &amp; Accessibility</x:v>
      </x:c>
      <x:c r="B23" t="n">
        <x:f>COUNTIF(TestCases!B:B,A23)</x:f>
        <x:v>20</x:v>
      </x:c>
      <x:c r="C23" t="n">
        <x:f>COUNTIFS(TestCases!B:B,A23,TestCases!H:H,"P0 Critical")+COUNTIFS(TestCases!B:B,A23,TestCases!H:H,"P1 High")</x:f>
        <x:v>3</x:v>
      </x:c>
      <x:c r="D23" t="n">
        <x:f>COUNTIFS(TestCases!B:B,A23,TestCases!K:K,"Fail")</x:f>
        <x:v>0</x:v>
      </x:c>
      <x:c r="E23" t="n">
        <x:f>COUNTIFS(TestCases!B:B,A23,TestCases!K:K,"Not Implemented")</x:f>
        <x:v>0</x:v>
      </x:c>
    </x:row>
    <x:row r="24">
      <x:c r="A24" t="str">
        <x:v>Update Notice / Bug Report</x:v>
      </x:c>
      <x:c r="B24" t="n">
        <x:f>COUNTIF(TestCases!B:B,A24)</x:f>
        <x:v>8</x:v>
      </x:c>
      <x:c r="C24" t="n">
        <x:f>COUNTIFS(TestCases!B:B,A24,TestCases!H:H,"P0 Critical")+COUNTIFS(TestCases!B:B,A24,TestCases!H:H,"P1 High")</x:f>
        <x:v>4</x:v>
      </x:c>
      <x:c r="D24" t="n">
        <x:f>COUNTIFS(TestCases!B:B,A24,TestCases!K:K,"Fail")</x:f>
        <x:v>0</x:v>
      </x:c>
      <x:c r="E24" t="n">
        <x:f>COUNTIFS(TestCases!B:B,A24,TestCases!K:K,"Not Implemented")</x:f>
        <x:v>0</x:v>
      </x:c>
    </x:row>
    <x:row r="25">
      <x:c r="A25" t="str">
        <x:v>User Profile / Avatar / Settings</x:v>
      </x:c>
      <x:c r="B25" t="n">
        <x:f>COUNTIF(TestCases!B:B,A25)</x:f>
        <x:v>15</x:v>
      </x:c>
      <x:c r="C25" t="n">
        <x:f>COUNTIFS(TestCases!B:B,A25,TestCases!H:H,"P0 Critical")+COUNTIFS(TestCases!B:B,A25,TestCases!H:H,"P1 High")</x:f>
        <x:v>9</x:v>
      </x:c>
      <x:c r="D25" t="n">
        <x:f>COUNTIFS(TestCases!B:B,A25,TestCases!K:K,"Fail")</x:f>
        <x:v>0</x:v>
      </x:c>
      <x:c r="E25" t="n">
        <x:f>COUNTIFS(TestCases!B:B,A25,TestCases!K:K,"Not Implemented")</x:f>
        <x:v>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34" hidden="0" customWidth="1"/>
    <x:col min="4" max="4" width="24" hidden="0" customWidth="1"/>
    <x:col min="5" max="5" width="36" hidden="0" customWidth="1"/>
  </x:cols>
  <x:sheetData>
    <x:row r="1">
      <x:c r="A1" s="23" t="str">
        <x:v>Feature/Area</x:v>
      </x:c>
      <x:c r="B1" s="23" t="str">
        <x:v>Expected hiện tại</x:v>
      </x:c>
      <x:c r="C1" s="23" t="str">
        <x:v>Cần xác nhận</x:v>
      </x:c>
      <x:c r="D1" s="23" t="str">
        <x:v>Quyết định sau test</x:v>
      </x:c>
      <x:c r="E1" s="23" t="str">
        <x:v>Ghi chú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14" t="str">
        <x:v>Navbar routes</x:v>
      </x:c>
      <x:c r="B2" s="14" t="str">
        <x:v>Có menu: /, /meo-tiet-kiem, /cong-dong, /kiem-tra-tien-dien, /bai-da-luu, /dang-nhap, /dang-bai</x:v>
      </x:c>
      <x:c r="C2" s="14" t="str">
        <x:v>Route nào còn tồn tại thật? route nào nên ẩn?</x:v>
      </x:c>
      <x:c r="D2" s="14" t="str"/>
      <x:c r="E2" s="14" t="str">
        <x:v>Không thêm lịch cắt điện nếu không có UI</x:v>
      </x:c>
    </x:row>
    <x:row r="3">
      <x:c r="A3" s="14" t="str">
        <x:v>Avatar người dùng</x:v>
      </x:c>
      <x:c r="B3" s="14" t="str">
        <x:v>Có avatar/icon user sau login hoặc fallback</x:v>
      </x:c>
      <x:c r="C3" s="14" t="str">
        <x:v>Click avatar có mở dropdown/profile không?</x:v>
      </x:c>
      <x:c r="D3" s="14" t="str"/>
      <x:c r="E3" s="14" t="str">
        <x:v>Nếu chưa làm, tránh để icon như nút chết</x:v>
      </x:c>
    </x:row>
    <x:row r="4">
      <x:c r="A4" s="14" t="str">
        <x:v>Thông tin tài khoản</x:v>
      </x:c>
      <x:c r="B4" s="14" t="str">
        <x:v>Nếu có profile/settings UI thì phải mở được</x:v>
      </x:c>
      <x:c r="C4" s="14" t="str">
        <x:v>Có trang/modal thông tin chưa?</x:v>
      </x:c>
      <x:c r="D4" s="14" t="str"/>
      <x:c r="E4" s="14" t="str">
        <x:v>Nên chốt: làm thật hoặc ẩn</x:v>
      </x:c>
    </x:row>
    <x:row r="5">
      <x:c r="A5" s="14" t="str">
        <x:v>Setting</x:v>
      </x:c>
      <x:c r="B5" s="14" t="str">
        <x:v>Nếu có icon setting thì phải có chức năng tối thiểu</x:v>
      </x:c>
      <x:c r="C5" s="14" t="str">
        <x:v>Đổi tên/avatar? hoặc chỉ logout?</x:v>
      </x:c>
      <x:c r="D5" s="14" t="str"/>
      <x:c r="E5" s="14" t="str">
        <x:v>Không để icon chết</x:v>
      </x:c>
    </x:row>
    <x:row r="6">
      <x:c r="A6" s="14" t="str">
        <x:v>Đăng bài</x:v>
      </x:c>
      <x:c r="B6" s="14" t="str">
        <x:v>User login mới được đăng</x:v>
      </x:c>
      <x:c r="C6" s="14" t="str">
        <x:v>Form chuyển trang có gây khó chịu không?</x:v>
      </x:c>
      <x:c r="D6" s="14" t="str"/>
      <x:c r="E6" s="14" t="str">
        <x:v>Nên có breadcrumb/quay lại/toast</x:v>
      </x:c>
    </x:row>
    <x:row r="7">
      <x:c r="A7" s="14" t="str">
        <x:v>Đăng bài cộng đồng</x:v>
      </x:c>
      <x:c r="B7" s="14" t="str">
        <x:v>Lưu đúng type cộng đồng</x:v>
      </x:c>
      <x:c r="C7" s="14" t="str">
        <x:v>Có còn nhảy sang mẹo tiết kiệm không?</x:v>
      </x:c>
      <x:c r="D7" s="14" t="str"/>
      <x:c r="E7" s="14" t="str">
        <x:v>Bug ưu tiên cao</x:v>
      </x:c>
    </x:row>
    <x:row r="8">
      <x:c r="A8" s="14" t="str">
        <x:v>Mẹo tiết kiệm</x:v>
      </x:c>
      <x:c r="B8" s="14" t="str">
        <x:v>Bài mẹo hiển thị đúng list</x:v>
      </x:c>
      <x:c r="C8" s="14" t="str">
        <x:v>Search/filter nếu có có chạy thật không?</x:v>
      </x:c>
      <x:c r="D8" s="14" t="str"/>
      <x:c r="E8" s="14" t="str">
        <x:v>Filter giả nên bỏ</x:v>
      </x:c>
    </x:row>
    <x:row r="9">
      <x:c r="A9" s="14" t="str">
        <x:v>Bài đã lưu</x:v>
      </x:c>
      <x:c r="B9" s="14" t="str">
        <x:v>Không mất sau reload; không trùng</x:v>
      </x:c>
      <x:c r="C9" s="14" t="str">
        <x:v>Đang dùng DB hay local state?</x:v>
      </x:c>
      <x:c r="D9" s="14" t="str"/>
      <x:c r="E9" s="14" t="str">
        <x:v>Ưu tiên test persistence</x:v>
      </x:c>
    </x:row>
    <x:row r="10">
      <x:c r="A10" s="14" t="str">
        <x:v>Bình luận</x:v>
      </x:c>
      <x:c r="B10" s="14" t="str">
        <x:v>Nếu có UI comment thì gửi/xóa/permission phải đúng</x:v>
      </x:c>
      <x:c r="C10" s="14" t="str">
        <x:v>Có lưu thật sau reload không?</x:v>
      </x:c>
      <x:c r="D10" s="14" t="str"/>
      <x:c r="E10" s="14" t="str">
        <x:v>Nếu chưa làm, ẩn/đánh dấu rõ</x:v>
      </x:c>
    </x:row>
    <x:row r="11">
      <x:c r="A11" s="14" t="str">
        <x:v>Kiểm tra tiền điện</x:v>
      </x:c>
      <x:c r="B11" s="14" t="str">
        <x:v>Có route trong context cũ</x:v>
      </x:c>
      <x:c r="C11" s="14" t="str">
        <x:v>Hiện web còn mục này không?</x:v>
      </x:c>
      <x:c r="D11" s="14" t="str"/>
      <x:c r="E11" s="14" t="str">
        <x:v>Nếu không có thì bỏ khỏi navbar/checklist</x:v>
      </x:c>
    </x:row>
    <x:row r="12">
      <x:c r="A12" s="14" t="str">
        <x:v>Admin Dashboard</x:v>
      </x:c>
      <x:c r="B12" s="14" t="str">
        <x:v>Admin mới vào được</x:v>
      </x:c>
      <x:c r="C12" s="14" t="str">
        <x:v>User thường có bị chặn không?</x:v>
      </x:c>
      <x:c r="D12" s="14" t="str"/>
      <x:c r="E12" s="14" t="str">
        <x:v>Không flash dashboard khi loading</x:v>
      </x:c>
    </x:row>
    <x:row r="13">
      <x:c r="A13" s="14" t="str">
        <x:v>Admin search</x:v>
      </x:c>
      <x:c r="B13" s="14" t="str">
        <x:v>Nếu còn ô search thì phải chạy</x:v>
      </x:c>
      <x:c r="C13" s="14" t="str">
        <x:v>Có cần bỏ nếu chưa làm?</x:v>
      </x:c>
      <x:c r="D13" s="14" t="str"/>
      <x:c r="E13" s="14" t="str">
        <x:v>Tránh chức năng giả</x:v>
      </x:c>
    </x:row>
    <x:row r="14">
      <x:c r="A14" s="14" t="str">
        <x:v>Chuông admin</x:v>
      </x:c>
      <x:c r="B14" s="14" t="str">
        <x:v>Click phải có dropdown/phản hồi</x:v>
      </x:c>
      <x:c r="C14" s="14" t="str">
        <x:v>Có pending badge không?</x:v>
      </x:c>
      <x:c r="D14" s="14" t="str"/>
      <x:c r="E14" s="14" t="str">
        <x:v>Không để icon chết</x:v>
      </x:c>
    </x:row>
    <x:row r="15">
      <x:c r="A15" s="14" t="str">
        <x:v>Dấu hỏi admin</x:v>
      </x:c>
      <x:c r="B15" s="14" t="str">
        <x:v>Click mở help ngắn</x:v>
      </x:c>
      <x:c r="C15" s="14" t="str">
        <x:v>Có nội dung hướng dẫn chưa?</x:v>
      </x:c>
      <x:c r="D15" s="14" t="str"/>
      <x:c r="E15" s="14" t="str">
        <x:v>Không để icon chết</x:v>
      </x:c>
    </x:row>
    <x:row r="16">
      <x:c r="A16" s="14" t="str">
        <x:v>Thông báo phiên bản</x:v>
      </x:c>
      <x:c r="B16" s="14" t="str">
        <x:v>Banner Beta v1.0/v1.1 + báo cáo lỗi</x:v>
      </x:c>
      <x:c r="C16" s="14" t="str">
        <x:v>Version đã đúng chưa?</x:v>
      </x:c>
      <x:c r="D16" s="14" t="str"/>
      <x:c r="E16" s="14" t="str">
        <x:v>Nút không bị trắng sau click</x:v>
      </x:c>
    </x:row>
    <x:row r="17">
      <x:c r="A17" s="14" t="str">
        <x:v>Báo cáo lỗi</x:v>
      </x:c>
      <x:c r="B17" s="14" t="str">
        <x:v>Mở Google Form đúng</x:v>
      </x:c>
      <x:c r="C17" s="14" t="str">
        <x:v>Link còn đúng không?</x:v>
      </x:c>
      <x:c r="D17" s="14" t="str"/>
      <x:c r="E17" s="14" t="str">
        <x:v>https://forms.gle/H7haoeUWb16TNUDw6</x:v>
      </x:c>
    </x:row>
    <x:row r="18">
      <x:c r="A18" s="14" t="str">
        <x:v>Responsive</x:v>
      </x:c>
      <x:c r="B18" s="14" t="str">
        <x:v>Không tràn ngang 375px</x:v>
      </x:c>
      <x:c r="C18" s="14" t="str">
        <x:v>Tất cả route chính đã test chưa?</x:v>
      </x:c>
      <x:c r="D18" s="14" t="str"/>
      <x:c r="E18" s="14" t="str">
        <x:v>Ưu tiên mobile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2" hidden="0" customWidth="1"/>
    <x:col min="5" max="5" width="20" hidden="0" customWidth="1"/>
    <x:col min="6" max="6" width="30" hidden="0" customWidth="1"/>
    <x:col min="7" max="7" width="40" hidden="0" customWidth="1"/>
    <x:col min="8" max="8" width="35" hidden="0" customWidth="1"/>
    <x:col min="9" max="9" width="35" hidden="0" customWidth="1"/>
    <x:col min="10" max="10" width="12" hidden="0" customWidth="1"/>
    <x:col min="11" max="11" width="12" hidden="0" customWidth="1"/>
    <x:col min="12" max="12" width="20" hidden="0" customWidth="1"/>
  </x:cols>
  <x:sheetData>
    <x:row r="1">
      <x:c r="A1" s="36" t="str">
        <x:v>Bug_ID</x:v>
      </x:c>
      <x:c r="B1" s="36" t="str">
        <x:v>Ngày</x:v>
      </x:c>
      <x:c r="C1" s="36" t="str">
        <x:v>Người test</x:v>
      </x:c>
      <x:c r="D1" s="36" t="str">
        <x:v>Module</x:v>
      </x:c>
      <x:c r="E1" s="36" t="str">
        <x:v>Route</x:v>
      </x:c>
      <x:c r="F1" s="36" t="str">
        <x:v>Tiêu đề lỗi</x:v>
      </x:c>
      <x:c r="G1" s="36" t="str">
        <x:v>Bước tái hiện</x:v>
      </x:c>
      <x:c r="H1" s="36" t="str">
        <x:v>Kết quả hiện tại</x:v>
      </x:c>
      <x:c r="I1" s="36" t="str">
        <x:v>Kết quả mong đợi</x:v>
      </x:c>
      <x:c r="J1" s="36" t="str">
        <x:v>Severity</x:v>
      </x:c>
      <x:c r="K1" s="36" t="str">
        <x:v>Status</x:v>
      </x:c>
      <x:c r="L1" s="36" t="str">
        <x:v>Evidence</x:v>
      </x:c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BUG-001</x:v>
      </x:c>
      <x:c r="B2" t="str"/>
      <x:c r="C2" t="str"/>
      <x:c r="D2" t="str"/>
      <x:c r="E2" t="str"/>
      <x:c r="F2" t="str"/>
      <x:c r="G2" t="str"/>
      <x:c r="H2" t="str"/>
      <x:c r="I2" t="str"/>
      <x:c r="J2" t="str">
        <x:v>Medium</x:v>
      </x:c>
      <x:c r="K2" t="str">
        <x:v>Open</x:v>
      </x:c>
      <x:c r="L2" t="str"/>
    </x:row>
    <x:row r="3">
      <x:c r="A3" t="str">
        <x:v>BUG-002</x:v>
      </x:c>
      <x:c r="B3" t="str"/>
      <x:c r="C3" t="str"/>
      <x:c r="D3" t="str"/>
      <x:c r="E3" t="str"/>
      <x:c r="F3" t="str"/>
      <x:c r="G3" t="str"/>
      <x:c r="H3" t="str"/>
      <x:c r="I3" t="str"/>
      <x:c r="J3" t="str">
        <x:v>Medium</x:v>
      </x:c>
      <x:c r="K3" t="str">
        <x:v>Open</x:v>
      </x:c>
      <x:c r="L3" t="str"/>
    </x:row>
    <x:row r="4">
      <x:c r="A4" t="str">
        <x:v>BUG-003</x:v>
      </x:c>
      <x:c r="B4" t="str"/>
      <x:c r="C4" t="str"/>
      <x:c r="D4" t="str"/>
      <x:c r="E4" t="str"/>
      <x:c r="F4" t="str"/>
      <x:c r="G4" t="str"/>
      <x:c r="H4" t="str"/>
      <x:c r="I4" t="str"/>
      <x:c r="J4" t="str">
        <x:v>Medium</x:v>
      </x:c>
      <x:c r="K4" t="str">
        <x:v>Open</x:v>
      </x:c>
      <x:c r="L4" t="str"/>
    </x:row>
    <x:row r="5">
      <x:c r="A5" t="str">
        <x:v>BUG-004</x:v>
      </x:c>
      <x:c r="B5" t="str"/>
      <x:c r="C5" t="str"/>
      <x:c r="D5" t="str"/>
      <x:c r="E5" t="str"/>
      <x:c r="F5" t="str"/>
      <x:c r="G5" t="str"/>
      <x:c r="H5" t="str"/>
      <x:c r="I5" t="str"/>
      <x:c r="J5" t="str">
        <x:v>Medium</x:v>
      </x:c>
      <x:c r="K5" t="str">
        <x:v>Open</x:v>
      </x:c>
      <x:c r="L5" t="str"/>
    </x:row>
    <x:row r="6">
      <x:c r="A6" t="str">
        <x:v>BUG-005</x:v>
      </x:c>
      <x:c r="B6" t="str"/>
      <x:c r="C6" t="str"/>
      <x:c r="D6" t="str"/>
      <x:c r="E6" t="str"/>
      <x:c r="F6" t="str"/>
      <x:c r="G6" t="str"/>
      <x:c r="H6" t="str"/>
      <x:c r="I6" t="str"/>
      <x:c r="J6" t="str">
        <x:v>Medium</x:v>
      </x:c>
      <x:c r="K6" t="str">
        <x:v>Open</x:v>
      </x:c>
      <x:c r="L6" t="str"/>
    </x:row>
  </x:sheetData>
  <x:dataValidations count="2">
    <x:dataValidation type="list" sqref="J2:J200">
      <x:formula1>"Low,Medium,High,Critical"</x:formula1>
    </x:dataValidation>
    <x:dataValidation type="list" sqref="K2:K200">
      <x:formula1>"Open,In Progress,Fixed,Rejected,Retest,Closed"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0" t="str">
        <x:v>Hướng dẫn dùng file test case E-XANH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/>
    </x:row>
    <x:row r="3">
      <x:c r="A3" t="str">
        <x:v>1. Sheet TestCases là danh sách testcase chính. Mỗi người test ghi Owner, Status, Actual Result, Evidence.</x:v>
      </x:c>
    </x:row>
    <x:row r="4">
      <x:c r="A4" t="str">
        <x:v>2. Status nên dùng: Not Tested, Pass, Fail, Blocked, Need Design Decision, Not Implemented.</x:v>
      </x:c>
    </x:row>
    <x:row r="5">
      <x:c r="A5" t="str">
        <x:v>3. Nếu một chức năng chưa có trong web nhưng UI có nút/icon giống như có chức năng, đánh Not Implemented hoặc Need Design Decision.</x:v>
      </x:c>
    </x:row>
    <x:row r="6">
      <x:c r="A6" t="str">
        <x:v>4. Không test lịch cắt điện/thời gian cắt điện nếu web hiện tại không có route/UI đó.</x:v>
      </x:c>
    </x:row>
    <x:row r="7">
      <x:c r="A7" t="str">
        <x:v>5. Ưu tiên P0/P1 trước: Auth, phân quyền admin, đăng bài, type bài cộng đồng/mẹo, bài đã lưu, route deploy.</x:v>
      </x:c>
    </x:row>
    <x:row r="8">
      <x:c r="A8" t="str">
        <x:v>6. Khi báo lỗi, chụp ảnh/video và ghi rõ route + tài khoản đang dùng.</x:v>
      </x:c>
    </x:row>
    <x:row r="9">
      <x:c r="A9" t="str">
        <x:v>7. Các lỗi nhỏ UI cũng cần ghi: nút xấu, hover mất chữ, icon chết, card lệch, mobile tràn ngang, form chuyển trang gây khó dùng.</x:v>
      </x:c>
    </x:row>
    <x:row r="10">
      <x:c r="A10" t="str">
        <x:v>8. Sheet Scope_Checklist dùng để quyết định chức năng nào làm thật, chức năng nào ẩn khỏi UI.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43" t="str">
        <x:v>Status</x:v>
      </x:c>
      <x:c r="B1" s="43"/>
      <x:c r="C1" s="43" t="str">
        <x:v>Priority</x:v>
      </x:c>
      <x:c r="D1" s="43"/>
      <x:c r="E1" s="43" t="str">
        <x:v>Type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Not Tested</x:v>
      </x:c>
      <x:c r="C2" t="str">
        <x:v>P0 Critical</x:v>
      </x:c>
      <x:c r="E2" t="str">
        <x:v>Functional</x:v>
      </x:c>
    </x:row>
    <x:row r="3">
      <x:c r="A3" t="str">
        <x:v>Pass</x:v>
      </x:c>
      <x:c r="C3" t="str">
        <x:v>P1 High</x:v>
      </x:c>
      <x:c r="E3" t="str">
        <x:v>Route</x:v>
      </x:c>
    </x:row>
    <x:row r="4">
      <x:c r="A4" t="str">
        <x:v>Fail</x:v>
      </x:c>
      <x:c r="C4" t="str">
        <x:v>P2 Medium</x:v>
      </x:c>
      <x:c r="E4" t="str">
        <x:v>Permission</x:v>
      </x:c>
    </x:row>
    <x:row r="5">
      <x:c r="A5" t="str">
        <x:v>Blocked</x:v>
      </x:c>
      <x:c r="C5" t="str">
        <x:v>P3 Low</x:v>
      </x:c>
      <x:c r="E5" t="str">
        <x:v>Security/Permission</x:v>
      </x:c>
    </x:row>
    <x:row r="6">
      <x:c r="A6" t="str">
        <x:v>Need Design Decision</x:v>
      </x:c>
      <x:c r="E6" t="str">
        <x:v>Validation</x:v>
      </x:c>
    </x:row>
    <x:row r="7">
      <x:c r="A7" t="str">
        <x:v>Not Implemented</x:v>
      </x:c>
      <x:c r="E7" t="str">
        <x:v>UI/UX</x:v>
      </x:c>
    </x:row>
    <x:row r="8">
      <x:c r="E8" t="str">
        <x:v>Responsive</x:v>
      </x:c>
    </x:row>
    <x:row r="9">
      <x:c r="E9" t="str">
        <x:v>Data Accuracy</x:v>
      </x:c>
    </x:row>
    <x:row r="10">
      <x:c r="E10" t="str">
        <x:v>Data Integrity</x:v>
      </x:c>
    </x:row>
    <x:row r="11">
      <x:c r="E11" t="str">
        <x:v>Data Persistence</x:v>
      </x:c>
    </x:row>
    <x:row r="12">
      <x:c r="E12" t="str">
        <x:v>Empty State</x:v>
      </x:c>
    </x:row>
    <x:row r="13">
      <x:c r="E13" t="str">
        <x:v>Error State</x:v>
      </x:c>
    </x:row>
    <x:row r="14">
      <x:c r="E14" t="str">
        <x:v>Scope Check</x:v>
      </x:c>
    </x:row>
    <x:row r="15">
      <x:c r="E15" t="str">
        <x:v>Content</x:v>
      </x:c>
    </x:row>
    <x:row r="16">
      <x:c r="E16" t="str">
        <x:v>UX</x:v>
      </x:c>
    </x:row>
    <x:row r="17">
      <x:c r="E17" t="str">
        <x:v>Deploy</x:v>
      </x:c>
    </x:row>
    <x:row r="18">
      <x:c r="E18" t="str">
        <x:v>Build/Deploy</x:v>
      </x:c>
    </x:row>
    <x:row r="19">
      <x:c r="E19" t="str">
        <x:v>Performance</x:v>
      </x:c>
    </x:row>
    <x:row r="20">
      <x:c r="E20" t="str">
        <x:v>Accessibility</x:v>
      </x:c>
    </x:row>
    <x:row r="21">
      <x:c r="E21" t="str">
        <x:v>Performance/UX</x:v>
      </x:c>
    </x:row>
    <x:row r="22">
      <x:c r="E22" t="str">
        <x:v>UX/Security</x:v>
      </x:c>
    </x:row>
    <x:row r="23">
      <x:c r="E23" t="str">
        <x:v>Data Sync</x:v>
      </x:c>
    </x:row>
  </x:sheetData>
  <x:pageMargins left="0.7" right="0.7" top="0.75" bottom="0.75" header="0.3" footer="0.3"/>
</x:worksheet>
</file>